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Report" sheetId="1" state="visible" r:id="rId3"/>
    <sheet name="Dashboard" sheetId="2" state="visible" r:id="rId4"/>
    <sheet name="Tickets Created This Week" sheetId="3" state="visible" r:id="rId5"/>
    <sheet name="Author Summary (Anonymized)" sheetId="4" state="visible" r:id="rId6"/>
    <sheet name="Data" sheetId="5" state="hidden" r:id="rId7"/>
    <sheet name="Internal Ref - DO NOT SHARE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<sst xmlns="http://schemas.openxmlformats.org/spreadsheetml/2006/main" count="902" uniqueCount="108">
  <si>
    <t xml:space="preserve">Weekly Team Activity Report</t>
  </si>
  <si>
    <t xml:space="preserve">Week of 2026-08-10 to 2026-08-14  |  Author names withheld, shown as User 1-7  |  Weekends excluded</t>
  </si>
  <si>
    <t xml:space="preserve">Monday, 2026-08-10    |    Team Availability: 7/7    |    New Tickets Created: 3</t>
  </si>
  <si>
    <t xml:space="preserve">Ticket Key</t>
  </si>
  <si>
    <t xml:space="preserve">Summary</t>
  </si>
  <si>
    <t xml:space="preserve">Authors on Ticket</t>
  </si>
  <si>
    <t xml:space="preserve">Hours Logged</t>
  </si>
  <si>
    <t xml:space="preserve">Priority</t>
  </si>
  <si>
    <t xml:space="preserve">Status</t>
  </si>
  <si>
    <t xml:space="preserve">CWL-2916</t>
  </si>
  <si>
    <t xml:space="preserve">Ad hoc: August</t>
  </si>
  <si>
    <t xml:space="preserve">Low</t>
  </si>
  <si>
    <t xml:space="preserve">TICKET ACKNOWLEDGEMENT</t>
  </si>
  <si>
    <t xml:space="preserve">CWL-2890</t>
  </si>
  <si>
    <t xml:space="preserve">2026_S3_LC Virto Charger Go - Web page updates</t>
  </si>
  <si>
    <t xml:space="preserve">Medium</t>
  </si>
  <si>
    <t xml:space="preserve">DONE</t>
  </si>
  <si>
    <t xml:space="preserve">CWL-2869</t>
  </si>
  <si>
    <t xml:space="preserve">HT_Website_PhaseoutUpdate-June26</t>
  </si>
  <si>
    <t xml:space="preserve">CWL-2464</t>
  </si>
  <si>
    <t xml:space="preserve">Move Phonak Hearing Stories to new Blog Component</t>
  </si>
  <si>
    <t xml:space="preserve">IN PROGRESS</t>
  </si>
  <si>
    <t xml:space="preserve">CWL-2920</t>
  </si>
  <si>
    <t xml:space="preserve">HT_Website_France-S3-2026 Update</t>
  </si>
  <si>
    <t xml:space="preserve">WAITING FOR APPROVAL (MIGRATED)</t>
  </si>
  <si>
    <t xml:space="preserve">CWL-2919</t>
  </si>
  <si>
    <t xml:space="preserve">HT_Website_International_PL-Userguide-Upload</t>
  </si>
  <si>
    <t xml:space="preserve">Tuesday, 2026-08-11    |    Team Availability: 7/7    |    New Tickets Created: 0</t>
  </si>
  <si>
    <t xml:space="preserve">CWL-2921</t>
  </si>
  <si>
    <t xml:space="preserve">Create a new "Conditions Générales de Vente" page for each webiste brand and add a footer link on the French Phonak, Unitron and Hansaton websites</t>
  </si>
  <si>
    <t xml:space="preserve">APPROVED FOR ACTIVATION</t>
  </si>
  <si>
    <t xml:space="preserve">CWL-2922</t>
  </si>
  <si>
    <t xml:space="preserve">Phonak JP Contents Update_discontinuedProductList</t>
  </si>
  <si>
    <t xml:space="preserve">CWL-2910</t>
  </si>
  <si>
    <t xml:space="preserve">Updating customer information on the Unitron website</t>
  </si>
  <si>
    <t xml:space="preserve">CWL-2889</t>
  </si>
  <si>
    <t xml:space="preserve">New Roger On page for the launch S3-26</t>
  </si>
  <si>
    <t xml:space="preserve">CWL-2923</t>
  </si>
  <si>
    <t xml:space="preserve">Request form update</t>
  </si>
  <si>
    <t xml:space="preserve">CWL-2918</t>
  </si>
  <si>
    <t xml:space="preserve">(cwl)Need to add a new Roger evidence</t>
  </si>
  <si>
    <t xml:space="preserve">Wednesday, 2026-08-12    |    Team Availability: 7/7    |    New Tickets Created: 1</t>
  </si>
  <si>
    <t xml:space="preserve">Thursday, 2026-08-13    |    Team Availability: 7/7    |    New Tickets Created: 3</t>
  </si>
  <si>
    <t xml:space="preserve">CWL-2912</t>
  </si>
  <si>
    <t xml:space="preserve">New WCB Manitoba grid version</t>
  </si>
  <si>
    <t xml:space="preserve">CWL-2924</t>
  </si>
  <si>
    <t xml:space="preserve">Roger VIP Launch Event - Landing Page</t>
  </si>
  <si>
    <t xml:space="preserve">Friday, 2026-08-14    |    Team Availability: 6/7    |    New Tickets Created: 0</t>
  </si>
  <si>
    <t xml:space="preserve">CWL-2927</t>
  </si>
  <si>
    <t xml:space="preserve">Add Wang journal to evidence library webpage</t>
  </si>
  <si>
    <t xml:space="preserve">CWL-2926</t>
  </si>
  <si>
    <t xml:space="preserve">Brazil Hansaton Website Update - User Guides</t>
  </si>
  <si>
    <t xml:space="preserve">CWL-2925</t>
  </si>
  <si>
    <t xml:space="preserve">Removal of components Moxi V-RS</t>
  </si>
  <si>
    <t xml:space="preserve">Week Summary</t>
  </si>
  <si>
    <t xml:space="preserve">Total Distinct Tickets Worked On This Week</t>
  </si>
  <si>
    <t xml:space="preserve">Total New Tickets Created This Week</t>
  </si>
  <si>
    <t xml:space="preserve">Total Hours Logged This Week</t>
  </si>
  <si>
    <t xml:space="preserve">Team Size (Total Available Authors)</t>
  </si>
  <si>
    <t xml:space="preserve">Legend:</t>
  </si>
  <si>
    <t xml:space="preserve">  </t>
  </si>
  <si>
    <t xml:space="preserve">Ticket newly created and worked on the same day</t>
  </si>
  <si>
    <t xml:space="preserve">Weekly Report - Visual Summary</t>
  </si>
  <si>
    <t xml:space="preserve">Hours Logged Per Day</t>
  </si>
  <si>
    <t xml:space="preserve">Hours Logged Per Author</t>
  </si>
  <si>
    <t xml:space="preserve">Tickets By Priority</t>
  </si>
  <si>
    <t xml:space="preserve">Date</t>
  </si>
  <si>
    <t xml:space="preserve">Hours</t>
  </si>
  <si>
    <t xml:space="preserve">Author</t>
  </si>
  <si>
    <t xml:space="preserve">Count</t>
  </si>
  <si>
    <t xml:space="preserve">2026-08-10</t>
  </si>
  <si>
    <t xml:space="preserve">User 1</t>
  </si>
  <si>
    <t xml:space="preserve">2026-08-11</t>
  </si>
  <si>
    <t xml:space="preserve">User 2</t>
  </si>
  <si>
    <t xml:space="preserve">2026-08-12</t>
  </si>
  <si>
    <t xml:space="preserve">User 3</t>
  </si>
  <si>
    <t xml:space="preserve">2026-08-13</t>
  </si>
  <si>
    <t xml:space="preserve">User 4</t>
  </si>
  <si>
    <t xml:space="preserve">2026-08-14</t>
  </si>
  <si>
    <t xml:space="preserve">User 5</t>
  </si>
  <si>
    <t xml:space="preserve">User 6</t>
  </si>
  <si>
    <t xml:space="preserve">User 7</t>
  </si>
  <si>
    <t xml:space="preserve">New Tickets Created This Week</t>
  </si>
  <si>
    <t xml:space="preserve">Date Created</t>
  </si>
  <si>
    <t xml:space="preserve">Approved for Activation</t>
  </si>
  <si>
    <t xml:space="preserve">Done</t>
  </si>
  <si>
    <t xml:space="preserve">Waiting for Approval (migrated)</t>
  </si>
  <si>
    <t xml:space="preserve">Total Tickets Created</t>
  </si>
  <si>
    <t xml:space="preserve">Author Summary (Anonymized)</t>
  </si>
  <si>
    <t xml:space="preserve">Names withheld; each team member is identified only by an anonymized ID</t>
  </si>
  <si>
    <t xml:space="preserve">Author ID</t>
  </si>
  <si>
    <t xml:space="preserve">2026-08-09</t>
  </si>
  <si>
    <t xml:space="preserve">2026-08-15</t>
  </si>
  <si>
    <t xml:space="preserve">Total Hours Logged</t>
  </si>
  <si>
    <t xml:space="preserve">Team Total</t>
  </si>
  <si>
    <t xml:space="preserve">AuthorID</t>
  </si>
  <si>
    <t xml:space="preserve">FirstAuthorTicketDay</t>
  </si>
  <si>
    <t xml:space="preserve">FirstAuthorDay</t>
  </si>
  <si>
    <t xml:space="preserve">FirstTicketWeek</t>
  </si>
  <si>
    <t xml:space="preserve">INTERNAL USE ONLY - remove this sheet before presenting to the team</t>
  </si>
  <si>
    <t xml:space="preserve">Real Name</t>
  </si>
  <si>
    <t xml:space="preserve">Daundkar, Mukul External</t>
  </si>
  <si>
    <t xml:space="preserve">Joshi, Chaitanya External</t>
  </si>
  <si>
    <t xml:space="preserve">Kale, Sonali External</t>
  </si>
  <si>
    <t xml:space="preserve">Shinde, Dakshata External</t>
  </si>
  <si>
    <t xml:space="preserve">Shinde, Sayali External</t>
  </si>
  <si>
    <t xml:space="preserve">Shirvatkar, Yadnesh External</t>
  </si>
  <si>
    <t xml:space="preserve">Yamanollu, Anjaneyulu External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</si>
</sst>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C6E0B4"/>
        <bgColor rgb="FFC6EFCE"/>
      </patternFill>
    </fill>
    <fill>
      <patternFill patternType="solid">
        <fgColor rgb="FFFFE699"/>
        <bgColor rgb="FFFFCC99"/>
      </patternFill>
    </fill>
    <fill>
      <patternFill patternType="solid">
        <fgColor rgb="FFD9E6F5"/>
        <bgColor rgb="FFD9D9D9"/>
      </patternFill>
    </fill>
    <fill>
      <patternFill patternType="solid">
        <fgColor rgb="FFC6EFCE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6F5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Logged Per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Dashboard!$A$5:$A$9</c:f>
              <c:strCache>
                <c:ptCount val="5"/>
                <c:pt idx="0">
                  <c:v>2026-08-10</c:v>
                </c:pt>
                <c:pt idx="1">
                  <c:v>2026-08-11</c:v>
                </c:pt>
                <c:pt idx="2">
                  <c:v>2026-08-12</c:v>
                </c:pt>
                <c:pt idx="3">
                  <c:v>2026-08-13</c:v>
                </c:pt>
                <c:pt idx="4">
                  <c:v>2026-08-14</c:v>
                </c:pt>
              </c:strCache>
            </c:strRef>
          </c:cat>
          <c:val>
            <c:numRef>
              <c:f>Dashboard!$B$5:$B$9</c:f>
              <c:numCache>
                <c:formatCode>General</c:formatCode>
                <c:ptCount val="5"/>
                <c:pt idx="0">
                  <c:v>41.02</c:v>
                </c:pt>
                <c:pt idx="1">
                  <c:v>49.67</c:v>
                </c:pt>
                <c:pt idx="2">
                  <c:v>48.33</c:v>
                </c:pt>
                <c:pt idx="3">
                  <c:v>48.5</c:v>
                </c:pt>
                <c:pt idx="4">
                  <c:v>36.25</c:v>
                </c:pt>
              </c:numCache>
            </c:numRef>
          </c:val>
        </c:ser>
        <c:gapWidth val="150"/>
        <c:overlap val="0"/>
        <c:axId val="94528167"/>
        <c:axId val="32904638"/>
      </c:barChart>
      <c:catAx>
        <c:axId val="945281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04638"/>
        <c:crosses val="autoZero"/>
        <c:auto val="1"/>
        <c:lblAlgn val="ctr"/>
        <c:lblOffset val="100"/>
        <c:noMultiLvlLbl val="0"/>
      </c:catAx>
      <c:valAx>
        <c:axId val="32904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28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Logged Per Author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Dashboard!E4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Dashboard!$D$5:$D$11</c:f>
              <c:strCache>
                <c:ptCount val="7"/>
                <c:pt idx="0">
                  <c:v>User 1</c:v>
                </c:pt>
                <c:pt idx="1">
                  <c:v>User 2</c:v>
                </c:pt>
                <c:pt idx="2">
                  <c:v>User 3</c:v>
                </c:pt>
                <c:pt idx="3">
                  <c:v>User 4</c:v>
                </c:pt>
                <c:pt idx="4">
                  <c:v>User 5</c:v>
                </c:pt>
                <c:pt idx="5">
                  <c:v>User 6</c:v>
                </c:pt>
                <c:pt idx="6">
                  <c:v>User 7</c:v>
                </c:pt>
              </c:strCache>
            </c:strRef>
          </c:cat>
          <c:val>
            <c:numRef>
              <c:f>Dashboard!$E$5:$E$11</c:f>
              <c:numCache>
                <c:formatCode>General</c:formatCode>
                <c:ptCount val="7"/>
                <c:pt idx="0">
                  <c:v>33.75</c:v>
                </c:pt>
                <c:pt idx="1">
                  <c:v>27.6</c:v>
                </c:pt>
                <c:pt idx="2">
                  <c:v>36.83</c:v>
                </c:pt>
                <c:pt idx="3">
                  <c:v>33.5</c:v>
                </c:pt>
                <c:pt idx="4">
                  <c:v>30.42</c:v>
                </c:pt>
                <c:pt idx="5">
                  <c:v>26.25</c:v>
                </c:pt>
                <c:pt idx="6">
                  <c:v>35.42</c:v>
                </c:pt>
              </c:numCache>
            </c:numRef>
          </c:val>
        </c:ser>
        <c:gapWidth val="150"/>
        <c:overlap val="0"/>
        <c:axId val="94138485"/>
        <c:axId val="68944714"/>
      </c:barChart>
      <c:catAx>
        <c:axId val="941384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Author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44714"/>
        <c:crosses val="autoZero"/>
        <c:auto val="1"/>
        <c:lblAlgn val="ctr"/>
        <c:lblOffset val="100"/>
        <c:noMultiLvlLbl val="0"/>
      </c:catAx>
      <c:valAx>
        <c:axId val="689447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384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Dashboard!H4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Dashboard!$G$5:$G$6</c:f>
              <c:strCache>
                <c:ptCount val="2"/>
                <c:pt idx="0">
                  <c:v>Low</c:v>
                </c:pt>
                <c:pt idx="1">
                  <c:v>Medium</c:v>
                </c:pt>
              </c:strCache>
            </c:strRef>
          </c:cat>
          <c:val>
            <c:numRef>
              <c:f>Dashboard!$H$5:$H$6</c:f>
              <c:numCache>
                <c:formatCode>General</c:formatCode>
                <c:ptCount val="2"/>
                <c:pt idx="0">
                  <c:v>2</c:v>
                </c:pt>
                <c:pt idx="1">
                  <c:v>15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5</xdr:col>
      <xdr:colOff>246600</xdr:colOff>
      <xdr:row>26</xdr:row>
      <xdr:rowOff>22320</xdr:rowOff>
    </xdr:to>
    <xdr:graphicFrame>
      <xdr:nvGraphicFramePr>
        <xdr:cNvPr id="0" name="Chart 1"/>
        <xdr:cNvGraphicFramePr/>
      </xdr:nvGraphicFramePr>
      <xdr:xfrm>
        <a:off x="0" y="2257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5</xdr:col>
      <xdr:colOff>246600</xdr:colOff>
      <xdr:row>43</xdr:row>
      <xdr:rowOff>21960</xdr:rowOff>
    </xdr:to>
    <xdr:graphicFrame>
      <xdr:nvGraphicFramePr>
        <xdr:cNvPr id="1" name="Chart 2"/>
        <xdr:cNvGraphicFramePr/>
      </xdr:nvGraphicFramePr>
      <xdr:xfrm>
        <a:off x="0" y="54957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5</xdr:col>
      <xdr:colOff>246600</xdr:colOff>
      <xdr:row>60</xdr:row>
      <xdr:rowOff>21960</xdr:rowOff>
    </xdr:to>
    <xdr:graphicFrame>
      <xdr:nvGraphicFramePr>
        <xdr:cNvPr id="2" name="Chart 3"/>
        <xdr:cNvGraphicFramePr/>
      </xdr:nvGraphicFramePr>
      <xdr:xfrm>
        <a:off x="0" y="87343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s">
        <v>10</v>
      </c>
      <c r="C6" s="7" t="n">
        <f aca="false">SUMIFS(Data!$H:$H,Data!$A:$A,DATE(2026,8,10),Data!$B:$B,"CWL-2916")</f>
        <v>7</v>
      </c>
      <c r="D6" s="8" t="n">
        <f aca="false">ROUND(SUMIFS(Data!$D:$D,Data!$A:$A,DATE(2026,8,10),Data!$B:$B,"CWL-2916"),2)</f>
        <v>7.5</v>
      </c>
      <c r="E6" s="9" t="s">
        <v>11</v>
      </c>
      <c r="F6" s="5" t="s">
        <v>12</v>
      </c>
    </row>
    <row r="7" customFormat="false" ht="15" hidden="false" customHeight="false" outlineLevel="0" collapsed="false">
      <c r="A7" s="5" t="s">
        <v>13</v>
      </c>
      <c r="B7" s="6" t="s">
        <v>14</v>
      </c>
      <c r="C7" s="7" t="n">
        <f aca="false">SUMIFS(Data!$H:$H,Data!$A:$A,DATE(2026,8,10),Data!$B:$B,"CWL-2890")</f>
        <v>2</v>
      </c>
      <c r="D7" s="8" t="n">
        <f aca="false">ROUND(SUMIFS(Data!$D:$D,Data!$A:$A,DATE(2026,8,10),Data!$B:$B,"CWL-2890"),2)</f>
        <v>0.75</v>
      </c>
      <c r="E7" s="10" t="s">
        <v>15</v>
      </c>
      <c r="F7" s="5" t="s">
        <v>16</v>
      </c>
    </row>
    <row r="8" customFormat="false" ht="15" hidden="false" customHeight="false" outlineLevel="0" collapsed="false">
      <c r="A8" s="5" t="s">
        <v>17</v>
      </c>
      <c r="B8" s="6" t="s">
        <v>18</v>
      </c>
      <c r="C8" s="7" t="n">
        <f aca="false">SUMIFS(Data!$H:$H,Data!$A:$A,DATE(2026,8,10),Data!$B:$B,"CWL-2869")</f>
        <v>3</v>
      </c>
      <c r="D8" s="8" t="n">
        <f aca="false">ROUND(SUMIFS(Data!$D:$D,Data!$A:$A,DATE(2026,8,10),Data!$B:$B,"CWL-2869"),2)</f>
        <v>5.5</v>
      </c>
      <c r="E8" s="10" t="s">
        <v>15</v>
      </c>
      <c r="F8" s="5" t="s">
        <v>16</v>
      </c>
    </row>
    <row r="9" customFormat="false" ht="15" hidden="false" customHeight="false" outlineLevel="0" collapsed="false">
      <c r="A9" s="5" t="s">
        <v>19</v>
      </c>
      <c r="B9" s="6" t="s">
        <v>20</v>
      </c>
      <c r="C9" s="7" t="n">
        <f aca="false">SUMIFS(Data!$H:$H,Data!$A:$A,DATE(2026,8,10),Data!$B:$B,"CWL-2464")</f>
        <v>5</v>
      </c>
      <c r="D9" s="8" t="n">
        <f aca="false">ROUND(SUMIFS(Data!$D:$D,Data!$A:$A,DATE(2026,8,10),Data!$B:$B,"CWL-2464"),2)</f>
        <v>22.77</v>
      </c>
      <c r="E9" s="9" t="s">
        <v>11</v>
      </c>
      <c r="F9" s="5" t="s">
        <v>21</v>
      </c>
    </row>
    <row r="10" customFormat="false" ht="15" hidden="false" customHeight="false" outlineLevel="0" collapsed="false">
      <c r="A10" s="5" t="s">
        <v>22</v>
      </c>
      <c r="B10" s="6" t="s">
        <v>23</v>
      </c>
      <c r="C10" s="7" t="n">
        <f aca="false">SUMIFS(Data!$H:$H,Data!$A:$A,DATE(2026,8,10),Data!$B:$B,"CWL-2920")</f>
        <v>1</v>
      </c>
      <c r="D10" s="8" t="n">
        <f aca="false">ROUND(SUMIFS(Data!$D:$D,Data!$A:$A,DATE(2026,8,10),Data!$B:$B,"CWL-2920"),2)</f>
        <v>4</v>
      </c>
      <c r="E10" s="10" t="s">
        <v>15</v>
      </c>
      <c r="F10" s="5" t="s">
        <v>24</v>
      </c>
    </row>
    <row r="11" customFormat="false" ht="15" hidden="false" customHeight="false" outlineLevel="0" collapsed="false">
      <c r="A11" s="5" t="s">
        <v>25</v>
      </c>
      <c r="B11" s="6" t="s">
        <v>26</v>
      </c>
      <c r="C11" s="7" t="n">
        <f aca="false">SUMIFS(Data!$H:$H,Data!$A:$A,DATE(2026,8,10),Data!$B:$B,"CWL-2919")</f>
        <v>1</v>
      </c>
      <c r="D11" s="8" t="n">
        <f aca="false">ROUND(SUMIFS(Data!$D:$D,Data!$A:$A,DATE(2026,8,10),Data!$B:$B,"CWL-2919"),2)</f>
        <v>0.5</v>
      </c>
      <c r="E11" s="10" t="s">
        <v>15</v>
      </c>
      <c r="F11" s="5" t="s">
        <v>16</v>
      </c>
    </row>
    <row r="12" customFormat="false" ht="15" hidden="false" customHeight="false" outlineLevel="0" collapsed="false">
      <c r="A12" s="11" t="str">
        <f aca="false">"Day Total ("&amp;COUNTA(A6:A11)&amp;" tickets)"</f>
        <v>Day Total (6 tickets)</v>
      </c>
      <c r="B12" s="11"/>
      <c r="C12" s="12"/>
      <c r="D12" s="13" t="n">
        <f aca="false">ROUND(SUM(D6:D11),2)</f>
        <v>41.02</v>
      </c>
      <c r="E12" s="12"/>
      <c r="F12" s="12"/>
    </row>
    <row r="14" customFormat="false" ht="19.5" hidden="false" customHeight="true" outlineLevel="0" collapsed="false">
      <c r="A14" s="3" t="s">
        <v>27</v>
      </c>
      <c r="B14" s="3"/>
      <c r="C14" s="3"/>
      <c r="D14" s="3"/>
      <c r="E14" s="3"/>
      <c r="F14" s="3"/>
    </row>
    <row r="15" customFormat="false" ht="15" hidden="false" customHeight="false" outlineLevel="0" collapsed="false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</row>
    <row r="16" customFormat="false" ht="35.05" hidden="false" customHeight="false" outlineLevel="0" collapsed="false">
      <c r="A16" s="5" t="s">
        <v>28</v>
      </c>
      <c r="B16" s="6" t="s">
        <v>29</v>
      </c>
      <c r="C16" s="7" t="n">
        <f aca="false">SUMIFS(Data!$H:$H,Data!$A:$A,DATE(2026,8,11),Data!$B:$B,"CWL-2921")</f>
        <v>1</v>
      </c>
      <c r="D16" s="8" t="n">
        <f aca="false">ROUND(SUMIFS(Data!$D:$D,Data!$A:$A,DATE(2026,8,11),Data!$B:$B,"CWL-2921"),2)</f>
        <v>6</v>
      </c>
      <c r="E16" s="10" t="s">
        <v>15</v>
      </c>
      <c r="F16" s="5" t="s">
        <v>30</v>
      </c>
    </row>
    <row r="17" customFormat="false" ht="15" hidden="false" customHeight="false" outlineLevel="0" collapsed="false">
      <c r="A17" s="5" t="s">
        <v>9</v>
      </c>
      <c r="B17" s="6" t="s">
        <v>10</v>
      </c>
      <c r="C17" s="7" t="n">
        <f aca="false">SUMIFS(Data!$H:$H,Data!$A:$A,DATE(2026,8,11),Data!$B:$B,"CWL-2916")</f>
        <v>7</v>
      </c>
      <c r="D17" s="8" t="n">
        <f aca="false">ROUND(SUMIFS(Data!$D:$D,Data!$A:$A,DATE(2026,8,11),Data!$B:$B,"CWL-2916"),2)</f>
        <v>7.5</v>
      </c>
      <c r="E17" s="9" t="s">
        <v>11</v>
      </c>
      <c r="F17" s="5" t="s">
        <v>12</v>
      </c>
    </row>
    <row r="18" customFormat="false" ht="15" hidden="false" customHeight="false" outlineLevel="0" collapsed="false">
      <c r="A18" s="5" t="s">
        <v>31</v>
      </c>
      <c r="B18" s="6" t="s">
        <v>32</v>
      </c>
      <c r="C18" s="7" t="n">
        <f aca="false">SUMIFS(Data!$H:$H,Data!$A:$A,DATE(2026,8,11),Data!$B:$B,"CWL-2922")</f>
        <v>2</v>
      </c>
      <c r="D18" s="8" t="n">
        <f aca="false">ROUND(SUMIFS(Data!$D:$D,Data!$A:$A,DATE(2026,8,11),Data!$B:$B,"CWL-2922"),2)</f>
        <v>0.83</v>
      </c>
      <c r="E18" s="10" t="s">
        <v>15</v>
      </c>
      <c r="F18" s="5" t="s">
        <v>16</v>
      </c>
    </row>
    <row r="19" customFormat="false" ht="15" hidden="false" customHeight="false" outlineLevel="0" collapsed="false">
      <c r="A19" s="5" t="s">
        <v>17</v>
      </c>
      <c r="B19" s="6" t="s">
        <v>18</v>
      </c>
      <c r="C19" s="7" t="n">
        <f aca="false">SUMIFS(Data!$H:$H,Data!$A:$A,DATE(2026,8,11),Data!$B:$B,"CWL-2869")</f>
        <v>3</v>
      </c>
      <c r="D19" s="8" t="n">
        <f aca="false">ROUND(SUMIFS(Data!$D:$D,Data!$A:$A,DATE(2026,8,11),Data!$B:$B,"CWL-2869"),2)</f>
        <v>6</v>
      </c>
      <c r="E19" s="10" t="s">
        <v>15</v>
      </c>
      <c r="F19" s="5" t="s">
        <v>16</v>
      </c>
    </row>
    <row r="20" customFormat="false" ht="15" hidden="false" customHeight="false" outlineLevel="0" collapsed="false">
      <c r="A20" s="5" t="s">
        <v>22</v>
      </c>
      <c r="B20" s="6" t="s">
        <v>23</v>
      </c>
      <c r="C20" s="7" t="n">
        <f aca="false">SUMIFS(Data!$H:$H,Data!$A:$A,DATE(2026,8,11),Data!$B:$B,"CWL-2920")</f>
        <v>2</v>
      </c>
      <c r="D20" s="8" t="n">
        <f aca="false">ROUND(SUMIFS(Data!$D:$D,Data!$A:$A,DATE(2026,8,11),Data!$B:$B,"CWL-2920"),2)</f>
        <v>6</v>
      </c>
      <c r="E20" s="10" t="s">
        <v>15</v>
      </c>
      <c r="F20" s="5" t="s">
        <v>24</v>
      </c>
    </row>
    <row r="21" customFormat="false" ht="15" hidden="false" customHeight="false" outlineLevel="0" collapsed="false">
      <c r="A21" s="5" t="s">
        <v>33</v>
      </c>
      <c r="B21" s="6" t="s">
        <v>34</v>
      </c>
      <c r="C21" s="7" t="n">
        <f aca="false">SUMIFS(Data!$H:$H,Data!$A:$A,DATE(2026,8,11),Data!$B:$B,"CWL-2910")</f>
        <v>1</v>
      </c>
      <c r="D21" s="8" t="n">
        <f aca="false">ROUND(SUMIFS(Data!$D:$D,Data!$A:$A,DATE(2026,8,11),Data!$B:$B,"CWL-2910"),2)</f>
        <v>1</v>
      </c>
      <c r="E21" s="10" t="s">
        <v>15</v>
      </c>
      <c r="F21" s="5" t="s">
        <v>24</v>
      </c>
    </row>
    <row r="22" customFormat="false" ht="15" hidden="false" customHeight="false" outlineLevel="0" collapsed="false">
      <c r="A22" s="5" t="s">
        <v>35</v>
      </c>
      <c r="B22" s="6" t="s">
        <v>36</v>
      </c>
      <c r="C22" s="7" t="n">
        <f aca="false">SUMIFS(Data!$H:$H,Data!$A:$A,DATE(2026,8,11),Data!$B:$B,"CWL-2889")</f>
        <v>1</v>
      </c>
      <c r="D22" s="8" t="n">
        <f aca="false">ROUND(SUMIFS(Data!$D:$D,Data!$A:$A,DATE(2026,8,11),Data!$B:$B,"CWL-2889"),2)</f>
        <v>5.5</v>
      </c>
      <c r="E22" s="10" t="s">
        <v>15</v>
      </c>
      <c r="F22" s="5" t="s">
        <v>24</v>
      </c>
    </row>
    <row r="23" customFormat="false" ht="15" hidden="false" customHeight="false" outlineLevel="0" collapsed="false">
      <c r="A23" s="5" t="s">
        <v>37</v>
      </c>
      <c r="B23" s="6" t="s">
        <v>38</v>
      </c>
      <c r="C23" s="7" t="n">
        <f aca="false">SUMIFS(Data!$H:$H,Data!$A:$A,DATE(2026,8,11),Data!$B:$B,"CWL-2923")</f>
        <v>2</v>
      </c>
      <c r="D23" s="8" t="n">
        <f aca="false">ROUND(SUMIFS(Data!$D:$D,Data!$A:$A,DATE(2026,8,11),Data!$B:$B,"CWL-2923"),2)</f>
        <v>1.17</v>
      </c>
      <c r="E23" s="10" t="s">
        <v>15</v>
      </c>
      <c r="F23" s="5" t="s">
        <v>24</v>
      </c>
    </row>
    <row r="24" customFormat="false" ht="15" hidden="false" customHeight="false" outlineLevel="0" collapsed="false">
      <c r="A24" s="5" t="s">
        <v>19</v>
      </c>
      <c r="B24" s="6" t="s">
        <v>20</v>
      </c>
      <c r="C24" s="7" t="n">
        <f aca="false">SUMIFS(Data!$H:$H,Data!$A:$A,DATE(2026,8,11),Data!$B:$B,"CWL-2464")</f>
        <v>4</v>
      </c>
      <c r="D24" s="8" t="n">
        <f aca="false">ROUND(SUMIFS(Data!$D:$D,Data!$A:$A,DATE(2026,8,11),Data!$B:$B,"CWL-2464"),2)</f>
        <v>15.25</v>
      </c>
      <c r="E24" s="9" t="s">
        <v>11</v>
      </c>
      <c r="F24" s="5" t="s">
        <v>21</v>
      </c>
    </row>
    <row r="25" customFormat="false" ht="15" hidden="false" customHeight="false" outlineLevel="0" collapsed="false">
      <c r="A25" s="5" t="s">
        <v>39</v>
      </c>
      <c r="B25" s="6" t="s">
        <v>40</v>
      </c>
      <c r="C25" s="7" t="n">
        <f aca="false">SUMIFS(Data!$H:$H,Data!$A:$A,DATE(2026,8,11),Data!$B:$B,"CWL-2918")</f>
        <v>1</v>
      </c>
      <c r="D25" s="8" t="n">
        <f aca="false">ROUND(SUMIFS(Data!$D:$D,Data!$A:$A,DATE(2026,8,11),Data!$B:$B,"CWL-2918"),2)</f>
        <v>0.17</v>
      </c>
      <c r="E25" s="10" t="s">
        <v>15</v>
      </c>
      <c r="F25" s="5" t="s">
        <v>16</v>
      </c>
    </row>
    <row r="26" customFormat="false" ht="15" hidden="false" customHeight="false" outlineLevel="0" collapsed="false">
      <c r="A26" s="5" t="s">
        <v>25</v>
      </c>
      <c r="B26" s="6" t="s">
        <v>26</v>
      </c>
      <c r="C26" s="7" t="n">
        <f aca="false">SUMIFS(Data!$H:$H,Data!$A:$A,DATE(2026,8,11),Data!$B:$B,"CWL-2919")</f>
        <v>1</v>
      </c>
      <c r="D26" s="8" t="n">
        <f aca="false">ROUND(SUMIFS(Data!$D:$D,Data!$A:$A,DATE(2026,8,11),Data!$B:$B,"CWL-2919"),2)</f>
        <v>0.25</v>
      </c>
      <c r="E26" s="10" t="s">
        <v>15</v>
      </c>
      <c r="F26" s="5" t="s">
        <v>16</v>
      </c>
    </row>
    <row r="27" customFormat="false" ht="15" hidden="false" customHeight="false" outlineLevel="0" collapsed="false">
      <c r="A27" s="11" t="str">
        <f aca="false">"Day Total ("&amp;COUNTA(A16:A26)&amp;" tickets)"</f>
        <v>Day Total (11 tickets)</v>
      </c>
      <c r="B27" s="11"/>
      <c r="C27" s="12"/>
      <c r="D27" s="13" t="n">
        <f aca="false">ROUND(SUM(D16:D26),2)</f>
        <v>49.67</v>
      </c>
      <c r="E27" s="12"/>
      <c r="F27" s="12"/>
    </row>
    <row r="29" customFormat="false" ht="19.5" hidden="false" customHeight="true" outlineLevel="0" collapsed="false">
      <c r="A29" s="3" t="s">
        <v>41</v>
      </c>
      <c r="B29" s="3"/>
      <c r="C29" s="3"/>
      <c r="D29" s="3"/>
      <c r="E29" s="3"/>
      <c r="F29" s="3"/>
    </row>
    <row r="30" customFormat="false" ht="15" hidden="false" customHeight="false" outlineLevel="0" collapsed="false">
      <c r="A30" s="4" t="s">
        <v>3</v>
      </c>
      <c r="B30" s="4" t="s">
        <v>4</v>
      </c>
      <c r="C30" s="4" t="s">
        <v>5</v>
      </c>
      <c r="D30" s="4" t="s">
        <v>6</v>
      </c>
      <c r="E30" s="4" t="s">
        <v>7</v>
      </c>
      <c r="F30" s="4" t="s">
        <v>8</v>
      </c>
    </row>
    <row r="31" customFormat="false" ht="15" hidden="false" customHeight="false" outlineLevel="0" collapsed="false">
      <c r="A31" s="5" t="s">
        <v>9</v>
      </c>
      <c r="B31" s="6" t="s">
        <v>10</v>
      </c>
      <c r="C31" s="7" t="n">
        <f aca="false">SUMIFS(Data!$H:$H,Data!$A:$A,DATE(2026,8,12),Data!$B:$B,"CWL-2916")</f>
        <v>7</v>
      </c>
      <c r="D31" s="8" t="n">
        <f aca="false">ROUND(SUMIFS(Data!$D:$D,Data!$A:$A,DATE(2026,8,12),Data!$B:$B,"CWL-2916"),2)</f>
        <v>7.5</v>
      </c>
      <c r="E31" s="9" t="s">
        <v>11</v>
      </c>
      <c r="F31" s="5" t="s">
        <v>12</v>
      </c>
    </row>
    <row r="32" customFormat="false" ht="15" hidden="false" customHeight="false" outlineLevel="0" collapsed="false">
      <c r="A32" s="5" t="s">
        <v>35</v>
      </c>
      <c r="B32" s="6" t="s">
        <v>36</v>
      </c>
      <c r="C32" s="7" t="n">
        <f aca="false">SUMIFS(Data!$H:$H,Data!$A:$A,DATE(2026,8,12),Data!$B:$B,"CWL-2889")</f>
        <v>1</v>
      </c>
      <c r="D32" s="8" t="n">
        <f aca="false">ROUND(SUMIFS(Data!$D:$D,Data!$A:$A,DATE(2026,8,12),Data!$B:$B,"CWL-2889"),2)</f>
        <v>2</v>
      </c>
      <c r="E32" s="10" t="s">
        <v>15</v>
      </c>
      <c r="F32" s="5" t="s">
        <v>24</v>
      </c>
    </row>
    <row r="33" customFormat="false" ht="15" hidden="false" customHeight="false" outlineLevel="0" collapsed="false">
      <c r="A33" s="5" t="s">
        <v>17</v>
      </c>
      <c r="B33" s="6" t="s">
        <v>18</v>
      </c>
      <c r="C33" s="7" t="n">
        <f aca="false">SUMIFS(Data!$H:$H,Data!$A:$A,DATE(2026,8,12),Data!$B:$B,"CWL-2869")</f>
        <v>1</v>
      </c>
      <c r="D33" s="8" t="n">
        <f aca="false">ROUND(SUMIFS(Data!$D:$D,Data!$A:$A,DATE(2026,8,12),Data!$B:$B,"CWL-2869"),2)</f>
        <v>0.5</v>
      </c>
      <c r="E33" s="10" t="s">
        <v>15</v>
      </c>
      <c r="F33" s="5" t="s">
        <v>16</v>
      </c>
    </row>
    <row r="34" customFormat="false" ht="15" hidden="false" customHeight="false" outlineLevel="0" collapsed="false">
      <c r="A34" s="5" t="s">
        <v>19</v>
      </c>
      <c r="B34" s="6" t="s">
        <v>20</v>
      </c>
      <c r="C34" s="7" t="n">
        <f aca="false">SUMIFS(Data!$H:$H,Data!$A:$A,DATE(2026,8,12),Data!$B:$B,"CWL-2464")</f>
        <v>7</v>
      </c>
      <c r="D34" s="8" t="n">
        <f aca="false">ROUND(SUMIFS(Data!$D:$D,Data!$A:$A,DATE(2026,8,12),Data!$B:$B,"CWL-2464"),2)</f>
        <v>33.67</v>
      </c>
      <c r="E34" s="9" t="s">
        <v>11</v>
      </c>
      <c r="F34" s="5" t="s">
        <v>21</v>
      </c>
    </row>
    <row r="35" customFormat="false" ht="15" hidden="false" customHeight="false" outlineLevel="0" collapsed="false">
      <c r="A35" s="5" t="s">
        <v>39</v>
      </c>
      <c r="B35" s="6" t="s">
        <v>40</v>
      </c>
      <c r="C35" s="7" t="n">
        <f aca="false">SUMIFS(Data!$H:$H,Data!$A:$A,DATE(2026,8,12),Data!$B:$B,"CWL-2918")</f>
        <v>1</v>
      </c>
      <c r="D35" s="8" t="n">
        <f aca="false">ROUND(SUMIFS(Data!$D:$D,Data!$A:$A,DATE(2026,8,12),Data!$B:$B,"CWL-2918"),2)</f>
        <v>0.42</v>
      </c>
      <c r="E35" s="10" t="s">
        <v>15</v>
      </c>
      <c r="F35" s="5" t="s">
        <v>16</v>
      </c>
    </row>
    <row r="36" customFormat="false" ht="35.05" hidden="false" customHeight="false" outlineLevel="0" collapsed="false">
      <c r="A36" s="5" t="s">
        <v>28</v>
      </c>
      <c r="B36" s="6" t="s">
        <v>29</v>
      </c>
      <c r="C36" s="7" t="n">
        <f aca="false">SUMIFS(Data!$H:$H,Data!$A:$A,DATE(2026,8,12),Data!$B:$B,"CWL-2921")</f>
        <v>1</v>
      </c>
      <c r="D36" s="8" t="n">
        <f aca="false">ROUND(SUMIFS(Data!$D:$D,Data!$A:$A,DATE(2026,8,12),Data!$B:$B,"CWL-2921"),2)</f>
        <v>3.75</v>
      </c>
      <c r="E36" s="10" t="s">
        <v>15</v>
      </c>
      <c r="F36" s="5" t="s">
        <v>30</v>
      </c>
    </row>
    <row r="37" customFormat="false" ht="15" hidden="false" customHeight="false" outlineLevel="0" collapsed="false">
      <c r="A37" s="5" t="s">
        <v>22</v>
      </c>
      <c r="B37" s="6" t="s">
        <v>23</v>
      </c>
      <c r="C37" s="7" t="n">
        <f aca="false">SUMIFS(Data!$H:$H,Data!$A:$A,DATE(2026,8,12),Data!$B:$B,"CWL-2920")</f>
        <v>1</v>
      </c>
      <c r="D37" s="8" t="n">
        <f aca="false">ROUND(SUMIFS(Data!$D:$D,Data!$A:$A,DATE(2026,8,12),Data!$B:$B,"CWL-2920"),2)</f>
        <v>0.5</v>
      </c>
      <c r="E37" s="10" t="s">
        <v>15</v>
      </c>
      <c r="F37" s="5" t="s">
        <v>24</v>
      </c>
    </row>
    <row r="38" customFormat="false" ht="15" hidden="false" customHeight="false" outlineLevel="0" collapsed="false">
      <c r="A38" s="11" t="str">
        <f aca="false">"Day Total ("&amp;COUNTA(A31:A37)&amp;" tickets)"</f>
        <v>Day Total (7 tickets)</v>
      </c>
      <c r="B38" s="11"/>
      <c r="C38" s="12"/>
      <c r="D38" s="13" t="n">
        <f aca="false">ROUND(SUM(D31:D37),2)</f>
        <v>48.34</v>
      </c>
      <c r="E38" s="12"/>
      <c r="F38" s="12"/>
    </row>
    <row r="40" customFormat="false" ht="19.5" hidden="false" customHeight="true" outlineLevel="0" collapsed="false">
      <c r="A40" s="3" t="s">
        <v>42</v>
      </c>
      <c r="B40" s="3"/>
      <c r="C40" s="3"/>
      <c r="D40" s="3"/>
      <c r="E40" s="3"/>
      <c r="F40" s="3"/>
    </row>
    <row r="41" customFormat="false" ht="15" hidden="false" customHeight="fals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</row>
    <row r="42" customFormat="false" ht="15" hidden="false" customHeight="false" outlineLevel="0" collapsed="false">
      <c r="A42" s="5" t="s">
        <v>43</v>
      </c>
      <c r="B42" s="6" t="s">
        <v>44</v>
      </c>
      <c r="C42" s="7" t="n">
        <f aca="false">SUMIFS(Data!$H:$H,Data!$A:$A,DATE(2026,8,13),Data!$B:$B,"CWL-2912")</f>
        <v>1</v>
      </c>
      <c r="D42" s="8" t="n">
        <f aca="false">ROUND(SUMIFS(Data!$D:$D,Data!$A:$A,DATE(2026,8,13),Data!$B:$B,"CWL-2912"),2)</f>
        <v>0.25</v>
      </c>
      <c r="E42" s="10" t="s">
        <v>15</v>
      </c>
      <c r="F42" s="5" t="s">
        <v>16</v>
      </c>
    </row>
    <row r="43" customFormat="false" ht="15" hidden="false" customHeight="false" outlineLevel="0" collapsed="false">
      <c r="A43" s="5" t="s">
        <v>9</v>
      </c>
      <c r="B43" s="6" t="s">
        <v>10</v>
      </c>
      <c r="C43" s="7" t="n">
        <f aca="false">SUMIFS(Data!$H:$H,Data!$A:$A,DATE(2026,8,13),Data!$B:$B,"CWL-2916")</f>
        <v>7</v>
      </c>
      <c r="D43" s="8" t="n">
        <f aca="false">ROUND(SUMIFS(Data!$D:$D,Data!$A:$A,DATE(2026,8,13),Data!$B:$B,"CWL-2916"),2)</f>
        <v>7.5</v>
      </c>
      <c r="E43" s="9" t="s">
        <v>11</v>
      </c>
      <c r="F43" s="5" t="s">
        <v>12</v>
      </c>
    </row>
    <row r="44" customFormat="false" ht="15" hidden="false" customHeight="false" outlineLevel="0" collapsed="false">
      <c r="A44" s="5" t="s">
        <v>45</v>
      </c>
      <c r="B44" s="6" t="s">
        <v>46</v>
      </c>
      <c r="C44" s="7" t="n">
        <f aca="false">SUMIFS(Data!$H:$H,Data!$A:$A,DATE(2026,8,13),Data!$B:$B,"CWL-2924")</f>
        <v>2</v>
      </c>
      <c r="D44" s="8" t="n">
        <f aca="false">ROUND(SUMIFS(Data!$D:$D,Data!$A:$A,DATE(2026,8,13),Data!$B:$B,"CWL-2924"),2)</f>
        <v>1.08</v>
      </c>
      <c r="E44" s="10" t="s">
        <v>15</v>
      </c>
      <c r="F44" s="5" t="s">
        <v>16</v>
      </c>
    </row>
    <row r="45" customFormat="false" ht="15" hidden="false" customHeight="false" outlineLevel="0" collapsed="false">
      <c r="A45" s="5" t="s">
        <v>33</v>
      </c>
      <c r="B45" s="6" t="s">
        <v>34</v>
      </c>
      <c r="C45" s="7" t="n">
        <f aca="false">SUMIFS(Data!$H:$H,Data!$A:$A,DATE(2026,8,13),Data!$B:$B,"CWL-2910")</f>
        <v>2</v>
      </c>
      <c r="D45" s="8" t="n">
        <f aca="false">ROUND(SUMIFS(Data!$D:$D,Data!$A:$A,DATE(2026,8,13),Data!$B:$B,"CWL-2910"),2)</f>
        <v>6</v>
      </c>
      <c r="E45" s="10" t="s">
        <v>15</v>
      </c>
      <c r="F45" s="5" t="s">
        <v>24</v>
      </c>
    </row>
    <row r="46" customFormat="false" ht="15" hidden="false" customHeight="false" outlineLevel="0" collapsed="false">
      <c r="A46" s="5" t="s">
        <v>19</v>
      </c>
      <c r="B46" s="6" t="s">
        <v>20</v>
      </c>
      <c r="C46" s="7" t="n">
        <f aca="false">SUMIFS(Data!$H:$H,Data!$A:$A,DATE(2026,8,13),Data!$B:$B,"CWL-2464")</f>
        <v>7</v>
      </c>
      <c r="D46" s="8" t="n">
        <f aca="false">ROUND(SUMIFS(Data!$D:$D,Data!$A:$A,DATE(2026,8,13),Data!$B:$B,"CWL-2464"),2)</f>
        <v>32.42</v>
      </c>
      <c r="E46" s="9" t="s">
        <v>11</v>
      </c>
      <c r="F46" s="5" t="s">
        <v>21</v>
      </c>
    </row>
    <row r="47" customFormat="false" ht="15" hidden="false" customHeight="false" outlineLevel="0" collapsed="false">
      <c r="A47" s="5" t="s">
        <v>35</v>
      </c>
      <c r="B47" s="6" t="s">
        <v>36</v>
      </c>
      <c r="C47" s="7" t="n">
        <f aca="false">SUMIFS(Data!$H:$H,Data!$A:$A,DATE(2026,8,13),Data!$B:$B,"CWL-2889")</f>
        <v>1</v>
      </c>
      <c r="D47" s="8" t="n">
        <f aca="false">ROUND(SUMIFS(Data!$D:$D,Data!$A:$A,DATE(2026,8,13),Data!$B:$B,"CWL-2889"),2)</f>
        <v>0.75</v>
      </c>
      <c r="E47" s="10" t="s">
        <v>15</v>
      </c>
      <c r="F47" s="5" t="s">
        <v>24</v>
      </c>
    </row>
    <row r="48" customFormat="false" ht="35.05" hidden="false" customHeight="false" outlineLevel="0" collapsed="false">
      <c r="A48" s="5" t="s">
        <v>28</v>
      </c>
      <c r="B48" s="6" t="s">
        <v>29</v>
      </c>
      <c r="C48" s="7" t="n">
        <f aca="false">SUMIFS(Data!$H:$H,Data!$A:$A,DATE(2026,8,13),Data!$B:$B,"CWL-2921")</f>
        <v>1</v>
      </c>
      <c r="D48" s="8" t="n">
        <f aca="false">ROUND(SUMIFS(Data!$D:$D,Data!$A:$A,DATE(2026,8,13),Data!$B:$B,"CWL-2921"),2)</f>
        <v>0.5</v>
      </c>
      <c r="E48" s="10" t="s">
        <v>15</v>
      </c>
      <c r="F48" s="5" t="s">
        <v>30</v>
      </c>
    </row>
    <row r="49" customFormat="false" ht="15" hidden="false" customHeight="false" outlineLevel="0" collapsed="false">
      <c r="A49" s="11" t="str">
        <f aca="false">"Day Total ("&amp;COUNTA(A42:A48)&amp;" tickets)"</f>
        <v>Day Total (7 tickets)</v>
      </c>
      <c r="B49" s="11"/>
      <c r="C49" s="12"/>
      <c r="D49" s="13" t="n">
        <f aca="false">ROUND(SUM(D42:D48),2)</f>
        <v>48.5</v>
      </c>
      <c r="E49" s="12"/>
      <c r="F49" s="12"/>
    </row>
    <row r="51" customFormat="false" ht="19.5" hidden="false" customHeight="true" outlineLevel="0" collapsed="false">
      <c r="A51" s="3" t="s">
        <v>47</v>
      </c>
      <c r="B51" s="3"/>
      <c r="C51" s="3"/>
      <c r="D51" s="3"/>
      <c r="E51" s="3"/>
      <c r="F51" s="3"/>
    </row>
    <row r="52" customFormat="false" ht="15" hidden="false" customHeight="false" outlineLevel="0" collapsed="false">
      <c r="A52" s="4" t="s">
        <v>3</v>
      </c>
      <c r="B52" s="4" t="s">
        <v>4</v>
      </c>
      <c r="C52" s="4" t="s">
        <v>5</v>
      </c>
      <c r="D52" s="4" t="s">
        <v>6</v>
      </c>
      <c r="E52" s="4" t="s">
        <v>7</v>
      </c>
      <c r="F52" s="4" t="s">
        <v>8</v>
      </c>
    </row>
    <row r="53" customFormat="false" ht="35.05" hidden="false" customHeight="false" outlineLevel="0" collapsed="false">
      <c r="A53" s="5" t="s">
        <v>28</v>
      </c>
      <c r="B53" s="6" t="s">
        <v>29</v>
      </c>
      <c r="C53" s="7" t="n">
        <f aca="false">SUMIFS(Data!$H:$H,Data!$A:$A,DATE(2026,8,14),Data!$B:$B,"CWL-2921")</f>
        <v>1</v>
      </c>
      <c r="D53" s="8" t="n">
        <f aca="false">ROUND(SUMIFS(Data!$D:$D,Data!$A:$A,DATE(2026,8,14),Data!$B:$B,"CWL-2921"),2)</f>
        <v>1</v>
      </c>
      <c r="E53" s="10" t="s">
        <v>15</v>
      </c>
      <c r="F53" s="5" t="s">
        <v>30</v>
      </c>
    </row>
    <row r="54" customFormat="false" ht="15" hidden="false" customHeight="false" outlineLevel="0" collapsed="false">
      <c r="A54" s="5" t="s">
        <v>48</v>
      </c>
      <c r="B54" s="6" t="s">
        <v>49</v>
      </c>
      <c r="C54" s="7" t="n">
        <f aca="false">SUMIFS(Data!$H:$H,Data!$A:$A,DATE(2026,8,14),Data!$B:$B,"CWL-2927")</f>
        <v>2</v>
      </c>
      <c r="D54" s="8" t="n">
        <f aca="false">ROUND(SUMIFS(Data!$D:$D,Data!$A:$A,DATE(2026,8,14),Data!$B:$B,"CWL-2927"),2)</f>
        <v>1.17</v>
      </c>
      <c r="E54" s="10" t="s">
        <v>15</v>
      </c>
      <c r="F54" s="5" t="s">
        <v>16</v>
      </c>
    </row>
    <row r="55" customFormat="false" ht="15" hidden="false" customHeight="false" outlineLevel="0" collapsed="false">
      <c r="A55" s="5" t="s">
        <v>9</v>
      </c>
      <c r="B55" s="6" t="s">
        <v>10</v>
      </c>
      <c r="C55" s="7" t="n">
        <f aca="false">SUMIFS(Data!$H:$H,Data!$A:$A,DATE(2026,8,14),Data!$B:$B,"CWL-2916")</f>
        <v>6</v>
      </c>
      <c r="D55" s="8" t="n">
        <f aca="false">ROUND(SUMIFS(Data!$D:$D,Data!$A:$A,DATE(2026,8,14),Data!$B:$B,"CWL-2916"),2)</f>
        <v>6.5</v>
      </c>
      <c r="E55" s="9" t="s">
        <v>11</v>
      </c>
      <c r="F55" s="5" t="s">
        <v>12</v>
      </c>
    </row>
    <row r="56" customFormat="false" ht="15" hidden="false" customHeight="false" outlineLevel="0" collapsed="false">
      <c r="A56" s="5" t="s">
        <v>50</v>
      </c>
      <c r="B56" s="6" t="s">
        <v>51</v>
      </c>
      <c r="C56" s="7" t="n">
        <f aca="false">SUMIFS(Data!$H:$H,Data!$A:$A,DATE(2026,8,14),Data!$B:$B,"CWL-2926")</f>
        <v>2</v>
      </c>
      <c r="D56" s="8" t="n">
        <f aca="false">ROUND(SUMIFS(Data!$D:$D,Data!$A:$A,DATE(2026,8,14),Data!$B:$B,"CWL-2926"),2)</f>
        <v>1.83</v>
      </c>
      <c r="E56" s="10" t="s">
        <v>15</v>
      </c>
      <c r="F56" s="5" t="s">
        <v>24</v>
      </c>
    </row>
    <row r="57" customFormat="false" ht="15" hidden="false" customHeight="false" outlineLevel="0" collapsed="false">
      <c r="A57" s="5" t="s">
        <v>33</v>
      </c>
      <c r="B57" s="6" t="s">
        <v>34</v>
      </c>
      <c r="C57" s="7" t="n">
        <f aca="false">SUMIFS(Data!$H:$H,Data!$A:$A,DATE(2026,8,14),Data!$B:$B,"CWL-2910")</f>
        <v>1</v>
      </c>
      <c r="D57" s="8" t="n">
        <f aca="false">ROUND(SUMIFS(Data!$D:$D,Data!$A:$A,DATE(2026,8,14),Data!$B:$B,"CWL-2910"),2)</f>
        <v>0.25</v>
      </c>
      <c r="E57" s="10" t="s">
        <v>15</v>
      </c>
      <c r="F57" s="5" t="s">
        <v>24</v>
      </c>
    </row>
    <row r="58" customFormat="false" ht="15" hidden="false" customHeight="false" outlineLevel="0" collapsed="false">
      <c r="A58" s="5" t="s">
        <v>19</v>
      </c>
      <c r="B58" s="6" t="s">
        <v>20</v>
      </c>
      <c r="C58" s="7" t="n">
        <f aca="false">SUMIFS(Data!$H:$H,Data!$A:$A,DATE(2026,8,14),Data!$B:$B,"CWL-2464")</f>
        <v>5</v>
      </c>
      <c r="D58" s="8" t="n">
        <f aca="false">ROUND(SUMIFS(Data!$D:$D,Data!$A:$A,DATE(2026,8,14),Data!$B:$B,"CWL-2464"),2)</f>
        <v>24</v>
      </c>
      <c r="E58" s="9" t="s">
        <v>11</v>
      </c>
      <c r="F58" s="5" t="s">
        <v>21</v>
      </c>
    </row>
    <row r="59" customFormat="false" ht="15" hidden="false" customHeight="false" outlineLevel="0" collapsed="false">
      <c r="A59" s="5" t="s">
        <v>52</v>
      </c>
      <c r="B59" s="6" t="s">
        <v>53</v>
      </c>
      <c r="C59" s="7" t="n">
        <f aca="false">SUMIFS(Data!$H:$H,Data!$A:$A,DATE(2026,8,14),Data!$B:$B,"CWL-2925")</f>
        <v>1</v>
      </c>
      <c r="D59" s="8" t="n">
        <f aca="false">ROUND(SUMIFS(Data!$D:$D,Data!$A:$A,DATE(2026,8,14),Data!$B:$B,"CWL-2925"),2)</f>
        <v>1.5</v>
      </c>
      <c r="E59" s="10" t="s">
        <v>15</v>
      </c>
      <c r="F59" s="5" t="s">
        <v>16</v>
      </c>
    </row>
    <row r="60" customFormat="false" ht="15" hidden="false" customHeight="false" outlineLevel="0" collapsed="false">
      <c r="A60" s="11" t="str">
        <f aca="false">"Day Total ("&amp;COUNTA(A53:A59)&amp;" tickets)"</f>
        <v>Day Total (7 tickets)</v>
      </c>
      <c r="B60" s="11"/>
      <c r="C60" s="12"/>
      <c r="D60" s="13" t="n">
        <f aca="false">ROUND(SUM(D53:D59),2)</f>
        <v>36.25</v>
      </c>
      <c r="E60" s="12"/>
      <c r="F60" s="12"/>
    </row>
    <row r="62" customFormat="false" ht="19.5" hidden="false" customHeight="true" outlineLevel="0" collapsed="false">
      <c r="A62" s="14" t="s">
        <v>54</v>
      </c>
      <c r="B62" s="14"/>
      <c r="C62" s="14"/>
      <c r="D62" s="14"/>
      <c r="E62" s="14"/>
      <c r="F62" s="14"/>
    </row>
    <row r="63" customFormat="false" ht="18" hidden="false" customHeight="true" outlineLevel="0" collapsed="false">
      <c r="A63" s="15" t="s">
        <v>55</v>
      </c>
      <c r="B63" s="15"/>
      <c r="C63" s="15"/>
      <c r="D63" s="15"/>
      <c r="E63" s="16" t="n">
        <f aca="false">SUM(Data!$J$2:$J$121)</f>
        <v>17</v>
      </c>
      <c r="F63" s="16"/>
    </row>
    <row r="64" customFormat="false" ht="18" hidden="false" customHeight="true" outlineLevel="0" collapsed="false">
      <c r="A64" s="15" t="s">
        <v>56</v>
      </c>
      <c r="B64" s="15"/>
      <c r="C64" s="15"/>
      <c r="D64" s="15"/>
      <c r="E64" s="16" t="n">
        <f aca="false">'Tickets Created This Week'!E12</f>
        <v>7</v>
      </c>
      <c r="F64" s="16"/>
    </row>
    <row r="65" customFormat="false" ht="18" hidden="false" customHeight="true" outlineLevel="0" collapsed="false">
      <c r="A65" s="15" t="s">
        <v>57</v>
      </c>
      <c r="B65" s="15"/>
      <c r="C65" s="15"/>
      <c r="D65" s="15"/>
      <c r="E65" s="17" t="n">
        <f aca="false">ROUND(SUM(Data!$D$2:$D$121),2)</f>
        <v>223.77</v>
      </c>
      <c r="F65" s="17"/>
    </row>
    <row r="66" customFormat="false" ht="18" hidden="false" customHeight="true" outlineLevel="0" collapsed="false">
      <c r="A66" s="15" t="s">
        <v>58</v>
      </c>
      <c r="B66" s="15"/>
      <c r="C66" s="15"/>
      <c r="D66" s="15"/>
      <c r="E66" s="16" t="n">
        <v>7</v>
      </c>
      <c r="F66" s="16"/>
    </row>
    <row r="68" customFormat="false" ht="15" hidden="false" customHeight="false" outlineLevel="0" collapsed="false">
      <c r="A68" s="18" t="s">
        <v>59</v>
      </c>
    </row>
    <row r="69" customFormat="false" ht="15" hidden="false" customHeight="false" outlineLevel="0" collapsed="false">
      <c r="A69" s="19" t="s">
        <v>60</v>
      </c>
      <c r="B69" s="20" t="s">
        <v>61</v>
      </c>
    </row>
  </sheetData>
  <mergeCells count="21">
    <mergeCell ref="A1:F1"/>
    <mergeCell ref="A2:F2"/>
    <mergeCell ref="A4:F4"/>
    <mergeCell ref="A12:B12"/>
    <mergeCell ref="A14:F14"/>
    <mergeCell ref="A27:B27"/>
    <mergeCell ref="A29:F29"/>
    <mergeCell ref="A38:B38"/>
    <mergeCell ref="A40:F40"/>
    <mergeCell ref="A49:B49"/>
    <mergeCell ref="A51:F51"/>
    <mergeCell ref="A60:B60"/>
    <mergeCell ref="A62:F62"/>
    <mergeCell ref="A63:D63"/>
    <mergeCell ref="E63:F63"/>
    <mergeCell ref="A64:D64"/>
    <mergeCell ref="E64:F64"/>
    <mergeCell ref="A65:D65"/>
    <mergeCell ref="E65:F65"/>
    <mergeCell ref="A66:D66"/>
    <mergeCell ref="E66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3"/>
  </cols>
  <sheetData>
    <row r="1" customFormat="false" ht="27.7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8" t="s">
        <v>63</v>
      </c>
      <c r="D3" s="18" t="s">
        <v>64</v>
      </c>
      <c r="G3" s="18" t="s">
        <v>65</v>
      </c>
    </row>
    <row r="4" customFormat="false" ht="15" hidden="false" customHeight="false" outlineLevel="0" collapsed="false">
      <c r="A4" s="21" t="s">
        <v>66</v>
      </c>
      <c r="B4" s="21" t="s">
        <v>67</v>
      </c>
      <c r="D4" s="21" t="s">
        <v>68</v>
      </c>
      <c r="E4" s="21" t="s">
        <v>67</v>
      </c>
      <c r="G4" s="21" t="s">
        <v>7</v>
      </c>
      <c r="H4" s="21" t="s">
        <v>69</v>
      </c>
    </row>
    <row r="5" customFormat="false" ht="15" hidden="false" customHeight="false" outlineLevel="0" collapsed="false">
      <c r="A5" s="22" t="s">
        <v>70</v>
      </c>
      <c r="B5" s="22" t="n">
        <v>41.02</v>
      </c>
      <c r="D5" s="22" t="s">
        <v>71</v>
      </c>
      <c r="E5" s="22" t="n">
        <v>33.75</v>
      </c>
      <c r="G5" s="22" t="s">
        <v>11</v>
      </c>
      <c r="H5" s="22" t="n">
        <v>2</v>
      </c>
    </row>
    <row r="6" customFormat="false" ht="15" hidden="false" customHeight="false" outlineLevel="0" collapsed="false">
      <c r="A6" s="22" t="s">
        <v>72</v>
      </c>
      <c r="B6" s="22" t="n">
        <v>49.67</v>
      </c>
      <c r="D6" s="22" t="s">
        <v>73</v>
      </c>
      <c r="E6" s="22" t="n">
        <v>27.6</v>
      </c>
      <c r="G6" s="22" t="s">
        <v>15</v>
      </c>
      <c r="H6" s="22" t="n">
        <v>15</v>
      </c>
    </row>
    <row r="7" customFormat="false" ht="15" hidden="false" customHeight="false" outlineLevel="0" collapsed="false">
      <c r="A7" s="22" t="s">
        <v>74</v>
      </c>
      <c r="B7" s="22" t="n">
        <v>48.33</v>
      </c>
      <c r="D7" s="22" t="s">
        <v>75</v>
      </c>
      <c r="E7" s="22" t="n">
        <v>36.83</v>
      </c>
    </row>
    <row r="8" customFormat="false" ht="15" hidden="false" customHeight="false" outlineLevel="0" collapsed="false">
      <c r="A8" s="22" t="s">
        <v>76</v>
      </c>
      <c r="B8" s="22" t="n">
        <v>48.5</v>
      </c>
      <c r="D8" s="22" t="s">
        <v>77</v>
      </c>
      <c r="E8" s="22" t="n">
        <v>33.5</v>
      </c>
    </row>
    <row r="9" customFormat="false" ht="15" hidden="false" customHeight="false" outlineLevel="0" collapsed="false">
      <c r="A9" s="22" t="s">
        <v>78</v>
      </c>
      <c r="B9" s="22" t="n">
        <v>36.25</v>
      </c>
      <c r="D9" s="22" t="s">
        <v>79</v>
      </c>
      <c r="E9" s="22" t="n">
        <v>30.42</v>
      </c>
    </row>
    <row r="10" customFormat="false" ht="15" hidden="false" customHeight="false" outlineLevel="0" collapsed="false">
      <c r="D10" s="22" t="s">
        <v>80</v>
      </c>
      <c r="E10" s="22" t="n">
        <v>26.25</v>
      </c>
    </row>
    <row r="11" customFormat="false" ht="15" hidden="false" customHeight="false" outlineLevel="0" collapsed="false">
      <c r="D11" s="22" t="s">
        <v>81</v>
      </c>
      <c r="E11" s="22" t="n">
        <v>35.42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82</v>
      </c>
      <c r="B1" s="1"/>
      <c r="C1" s="1"/>
      <c r="D1" s="1"/>
      <c r="E1" s="1"/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8</v>
      </c>
      <c r="D3" s="4" t="s">
        <v>7</v>
      </c>
      <c r="E3" s="4" t="s">
        <v>83</v>
      </c>
    </row>
    <row r="4" customFormat="false" ht="35.05" hidden="false" customHeight="false" outlineLevel="0" collapsed="false">
      <c r="A4" s="5" t="s">
        <v>28</v>
      </c>
      <c r="B4" s="6" t="s">
        <v>29</v>
      </c>
      <c r="C4" s="5" t="s">
        <v>84</v>
      </c>
      <c r="D4" s="5" t="s">
        <v>15</v>
      </c>
      <c r="E4" s="23" t="n">
        <v>46244</v>
      </c>
    </row>
    <row r="5" customFormat="false" ht="15" hidden="false" customHeight="false" outlineLevel="0" collapsed="false">
      <c r="A5" s="5" t="s">
        <v>31</v>
      </c>
      <c r="B5" s="6" t="s">
        <v>32</v>
      </c>
      <c r="C5" s="5" t="s">
        <v>85</v>
      </c>
      <c r="D5" s="5" t="s">
        <v>15</v>
      </c>
      <c r="E5" s="23" t="n">
        <v>46244</v>
      </c>
    </row>
    <row r="6" customFormat="false" ht="15" hidden="false" customHeight="false" outlineLevel="0" collapsed="false">
      <c r="A6" s="5" t="s">
        <v>37</v>
      </c>
      <c r="B6" s="6" t="s">
        <v>38</v>
      </c>
      <c r="C6" s="5" t="s">
        <v>86</v>
      </c>
      <c r="D6" s="5" t="s">
        <v>15</v>
      </c>
      <c r="E6" s="23" t="n">
        <v>46244</v>
      </c>
    </row>
    <row r="7" customFormat="false" ht="15" hidden="false" customHeight="false" outlineLevel="0" collapsed="false">
      <c r="A7" s="5" t="s">
        <v>45</v>
      </c>
      <c r="B7" s="6" t="s">
        <v>46</v>
      </c>
      <c r="C7" s="5" t="s">
        <v>85</v>
      </c>
      <c r="D7" s="5" t="s">
        <v>15</v>
      </c>
      <c r="E7" s="23" t="n">
        <v>46246</v>
      </c>
    </row>
    <row r="8" customFormat="false" ht="15" hidden="false" customHeight="false" outlineLevel="0" collapsed="false">
      <c r="A8" s="5" t="s">
        <v>52</v>
      </c>
      <c r="B8" s="6" t="s">
        <v>53</v>
      </c>
      <c r="C8" s="5" t="s">
        <v>85</v>
      </c>
      <c r="D8" s="5" t="s">
        <v>15</v>
      </c>
      <c r="E8" s="23" t="n">
        <v>46247</v>
      </c>
    </row>
    <row r="9" customFormat="false" ht="15" hidden="false" customHeight="false" outlineLevel="0" collapsed="false">
      <c r="A9" s="5" t="s">
        <v>50</v>
      </c>
      <c r="B9" s="6" t="s">
        <v>51</v>
      </c>
      <c r="C9" s="5" t="s">
        <v>86</v>
      </c>
      <c r="D9" s="5" t="s">
        <v>15</v>
      </c>
      <c r="E9" s="23" t="n">
        <v>46247</v>
      </c>
    </row>
    <row r="10" customFormat="false" ht="15" hidden="false" customHeight="false" outlineLevel="0" collapsed="false">
      <c r="A10" s="5" t="s">
        <v>48</v>
      </c>
      <c r="B10" s="6" t="s">
        <v>49</v>
      </c>
      <c r="C10" s="5" t="s">
        <v>85</v>
      </c>
      <c r="D10" s="5" t="s">
        <v>15</v>
      </c>
      <c r="E10" s="23" t="n">
        <v>46247</v>
      </c>
    </row>
    <row r="12" customFormat="false" ht="15" hidden="false" customHeight="false" outlineLevel="0" collapsed="false">
      <c r="A12" s="11" t="s">
        <v>87</v>
      </c>
      <c r="B12" s="11"/>
      <c r="C12" s="11"/>
      <c r="D12" s="11"/>
      <c r="E12" s="24" t="n">
        <f aca="false">COUNTA(A4:A10)</f>
        <v>7</v>
      </c>
    </row>
  </sheetData>
  <mergeCells count="2">
    <mergeCell ref="A1:E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13"/>
  </cols>
  <sheetData>
    <row r="1" customFormat="false" ht="27.75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5" t="s">
        <v>89</v>
      </c>
      <c r="B2" s="25"/>
      <c r="C2" s="25"/>
      <c r="D2" s="25"/>
      <c r="E2" s="25"/>
      <c r="F2" s="25"/>
      <c r="G2" s="25"/>
      <c r="H2" s="25"/>
      <c r="I2" s="25"/>
    </row>
    <row r="4" customFormat="false" ht="23.85" hidden="false" customHeight="false" outlineLevel="0" collapsed="false">
      <c r="A4" s="4" t="s">
        <v>90</v>
      </c>
      <c r="B4" s="4" t="s">
        <v>91</v>
      </c>
      <c r="C4" s="4" t="s">
        <v>70</v>
      </c>
      <c r="D4" s="4" t="s">
        <v>72</v>
      </c>
      <c r="E4" s="4" t="s">
        <v>74</v>
      </c>
      <c r="F4" s="4" t="s">
        <v>76</v>
      </c>
      <c r="G4" s="4" t="s">
        <v>78</v>
      </c>
      <c r="H4" s="4" t="s">
        <v>92</v>
      </c>
      <c r="I4" s="4" t="s">
        <v>93</v>
      </c>
    </row>
    <row r="5" customFormat="false" ht="15" hidden="false" customHeight="false" outlineLevel="0" collapsed="false">
      <c r="A5" s="26" t="s">
        <v>71</v>
      </c>
      <c r="B5" s="27" t="n">
        <v>0</v>
      </c>
      <c r="C5" s="27" t="n">
        <v>6.5</v>
      </c>
      <c r="D5" s="27" t="n">
        <v>7</v>
      </c>
      <c r="E5" s="27" t="n">
        <v>6.5</v>
      </c>
      <c r="F5" s="27" t="n">
        <v>6.75</v>
      </c>
      <c r="G5" s="27" t="n">
        <v>7</v>
      </c>
      <c r="H5" s="27" t="n">
        <v>0</v>
      </c>
      <c r="I5" s="28" t="n">
        <f aca="false">ROUND(SUM(B5:H5),2)</f>
        <v>33.75</v>
      </c>
    </row>
    <row r="6" customFormat="false" ht="15" hidden="false" customHeight="false" outlineLevel="0" collapsed="false">
      <c r="A6" s="26" t="s">
        <v>73</v>
      </c>
      <c r="B6" s="27" t="n">
        <v>0</v>
      </c>
      <c r="C6" s="27" t="n">
        <v>7.1</v>
      </c>
      <c r="D6" s="27" t="n">
        <v>6.5</v>
      </c>
      <c r="E6" s="27" t="n">
        <v>6.42</v>
      </c>
      <c r="F6" s="27" t="n">
        <v>6.58</v>
      </c>
      <c r="G6" s="27" t="n">
        <v>1</v>
      </c>
      <c r="H6" s="27" t="n">
        <v>0</v>
      </c>
      <c r="I6" s="28" t="n">
        <f aca="false">ROUND(SUM(B6:H6),2)</f>
        <v>27.6</v>
      </c>
    </row>
    <row r="7" customFormat="false" ht="15" hidden="false" customHeight="false" outlineLevel="0" collapsed="false">
      <c r="A7" s="26" t="s">
        <v>75</v>
      </c>
      <c r="B7" s="27" t="n">
        <v>0</v>
      </c>
      <c r="C7" s="27" t="n">
        <v>7.17</v>
      </c>
      <c r="D7" s="27" t="n">
        <v>7.17</v>
      </c>
      <c r="E7" s="27" t="n">
        <v>7.75</v>
      </c>
      <c r="F7" s="27" t="n">
        <v>7.17</v>
      </c>
      <c r="G7" s="27" t="n">
        <v>7.58</v>
      </c>
      <c r="H7" s="27" t="n">
        <v>0</v>
      </c>
      <c r="I7" s="28" t="n">
        <f aca="false">ROUND(SUM(B7:H7),2)</f>
        <v>36.84</v>
      </c>
    </row>
    <row r="8" customFormat="false" ht="15" hidden="false" customHeight="false" outlineLevel="0" collapsed="false">
      <c r="A8" s="26" t="s">
        <v>77</v>
      </c>
      <c r="B8" s="27" t="n">
        <v>0</v>
      </c>
      <c r="C8" s="27" t="n">
        <v>6.5</v>
      </c>
      <c r="D8" s="27" t="n">
        <v>7</v>
      </c>
      <c r="E8" s="27" t="n">
        <v>7</v>
      </c>
      <c r="F8" s="27" t="n">
        <v>6.25</v>
      </c>
      <c r="G8" s="27" t="n">
        <v>6.75</v>
      </c>
      <c r="H8" s="27" t="n">
        <v>0</v>
      </c>
      <c r="I8" s="28" t="n">
        <f aca="false">ROUND(SUM(B8:H8),2)</f>
        <v>33.5</v>
      </c>
    </row>
    <row r="9" customFormat="false" ht="15" hidden="false" customHeight="false" outlineLevel="0" collapsed="false">
      <c r="A9" s="26" t="s">
        <v>79</v>
      </c>
      <c r="B9" s="27" t="n">
        <v>0</v>
      </c>
      <c r="C9" s="27" t="n">
        <v>1</v>
      </c>
      <c r="D9" s="27" t="n">
        <v>7.5</v>
      </c>
      <c r="E9" s="27" t="n">
        <v>7.17</v>
      </c>
      <c r="F9" s="27" t="n">
        <v>7.5</v>
      </c>
      <c r="G9" s="27" t="n">
        <v>7.25</v>
      </c>
      <c r="H9" s="27" t="n">
        <v>0</v>
      </c>
      <c r="I9" s="28" t="n">
        <f aca="false">ROUND(SUM(B9:H9),2)</f>
        <v>30.42</v>
      </c>
    </row>
    <row r="10" customFormat="false" ht="15" hidden="false" customHeight="false" outlineLevel="0" collapsed="false">
      <c r="A10" s="26" t="s">
        <v>80</v>
      </c>
      <c r="B10" s="27" t="n">
        <v>0</v>
      </c>
      <c r="C10" s="27" t="n">
        <v>6</v>
      </c>
      <c r="D10" s="27" t="n">
        <v>7.25</v>
      </c>
      <c r="E10" s="27" t="n">
        <v>6.5</v>
      </c>
      <c r="F10" s="27" t="n">
        <v>6.5</v>
      </c>
      <c r="G10" s="27" t="n">
        <v>0</v>
      </c>
      <c r="H10" s="27" t="n">
        <v>0</v>
      </c>
      <c r="I10" s="28" t="n">
        <f aca="false">ROUND(SUM(B10:H10),2)</f>
        <v>26.25</v>
      </c>
    </row>
    <row r="11" customFormat="false" ht="15" hidden="false" customHeight="false" outlineLevel="0" collapsed="false">
      <c r="A11" s="26" t="s">
        <v>81</v>
      </c>
      <c r="B11" s="27" t="n">
        <v>0</v>
      </c>
      <c r="C11" s="27" t="n">
        <v>6.75</v>
      </c>
      <c r="D11" s="27" t="n">
        <v>7.25</v>
      </c>
      <c r="E11" s="27" t="n">
        <v>7</v>
      </c>
      <c r="F11" s="27" t="n">
        <v>7.75</v>
      </c>
      <c r="G11" s="27" t="n">
        <v>6.67</v>
      </c>
      <c r="H11" s="27" t="n">
        <v>0</v>
      </c>
      <c r="I11" s="28" t="n">
        <f aca="false">ROUND(SUM(B11:H11),2)</f>
        <v>35.42</v>
      </c>
    </row>
    <row r="12" customFormat="false" ht="15" hidden="false" customHeight="false" outlineLevel="0" collapsed="false">
      <c r="A12" s="24" t="s">
        <v>94</v>
      </c>
      <c r="B12" s="13" t="n">
        <f aca="false">ROUND(SUM(B5:B11),2)</f>
        <v>0</v>
      </c>
      <c r="C12" s="13" t="n">
        <f aca="false">ROUND(SUM(C5:C11),2)</f>
        <v>41.02</v>
      </c>
      <c r="D12" s="13" t="n">
        <f aca="false">ROUND(SUM(D5:D11),2)</f>
        <v>49.67</v>
      </c>
      <c r="E12" s="13" t="n">
        <f aca="false">ROUND(SUM(E5:E11),2)</f>
        <v>48.34</v>
      </c>
      <c r="F12" s="13" t="n">
        <f aca="false">ROUND(SUM(F5:F11),2)</f>
        <v>48.5</v>
      </c>
      <c r="G12" s="13" t="n">
        <f aca="false">ROUND(SUM(G5:G11),2)</f>
        <v>36.25</v>
      </c>
      <c r="H12" s="13" t="n">
        <f aca="false">ROUND(SUM(H5:H11),2)</f>
        <v>0</v>
      </c>
      <c r="I12" s="13" t="n">
        <f aca="false">ROUND(SUM(I5:I11),2)</f>
        <v>223.78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5"/>
    <col collapsed="false" customWidth="true" hidden="false" outlineLevel="0" max="10" min="4" style="0" width="14"/>
  </cols>
  <sheetData>
    <row r="1" customFormat="false" ht="15" hidden="false" customHeight="false" outlineLevel="0" collapsed="false">
      <c r="A1" s="18" t="s">
        <v>66</v>
      </c>
      <c r="B1" s="18" t="s">
        <v>3</v>
      </c>
      <c r="C1" s="18" t="s">
        <v>4</v>
      </c>
      <c r="D1" s="18" t="s">
        <v>67</v>
      </c>
      <c r="E1" s="18" t="s">
        <v>95</v>
      </c>
      <c r="F1" s="18" t="s">
        <v>8</v>
      </c>
      <c r="G1" s="18" t="s">
        <v>7</v>
      </c>
      <c r="H1" s="18" t="s">
        <v>96</v>
      </c>
      <c r="I1" s="18" t="s">
        <v>97</v>
      </c>
      <c r="J1" s="18" t="s">
        <v>98</v>
      </c>
    </row>
    <row r="2" customFormat="false" ht="15" hidden="false" customHeight="false" outlineLevel="0" collapsed="false">
      <c r="A2" s="29" t="n">
        <v>46244</v>
      </c>
      <c r="B2" s="30" t="s">
        <v>9</v>
      </c>
      <c r="C2" s="30" t="s">
        <v>10</v>
      </c>
      <c r="D2" s="0" t="n">
        <v>1</v>
      </c>
      <c r="E2" s="30" t="s">
        <v>71</v>
      </c>
      <c r="F2" s="30" t="s">
        <v>12</v>
      </c>
      <c r="G2" s="30" t="s">
        <v>11</v>
      </c>
      <c r="H2" s="30" t="n">
        <f aca="false">IF(COUNTIFS($A$2:A2,A2,$B$2:B2,B2,$E$2:E2,E2)=1,1,0)</f>
        <v>1</v>
      </c>
      <c r="I2" s="30" t="n">
        <f aca="false">IF(COUNTIFS($A$2:A2,A2,$E$2:E2,E2)=1,1,0)</f>
        <v>1</v>
      </c>
      <c r="J2" s="30" t="n">
        <f aca="false">IF(COUNTIFS($B$2:B2,B2)=1,1,0)</f>
        <v>1</v>
      </c>
    </row>
    <row r="3" customFormat="false" ht="15" hidden="false" customHeight="false" outlineLevel="0" collapsed="false">
      <c r="A3" s="29" t="n">
        <v>46244</v>
      </c>
      <c r="B3" s="30" t="s">
        <v>9</v>
      </c>
      <c r="C3" s="30" t="s">
        <v>10</v>
      </c>
      <c r="D3" s="0" t="n">
        <v>1</v>
      </c>
      <c r="E3" s="30" t="s">
        <v>79</v>
      </c>
      <c r="F3" s="30" t="s">
        <v>12</v>
      </c>
      <c r="G3" s="30" t="s">
        <v>11</v>
      </c>
      <c r="H3" s="30" t="n">
        <f aca="false">IF(COUNTIFS($A$2:A3,A3,$B$2:B3,B3,$E$2:E3,E3)=1,1,0)</f>
        <v>1</v>
      </c>
      <c r="I3" s="30" t="n">
        <f aca="false">IF(COUNTIFS($A$2:A3,A3,$E$2:E3,E3)=1,1,0)</f>
        <v>1</v>
      </c>
      <c r="J3" s="30" t="n">
        <f aca="false">IF(COUNTIFS($B$2:B3,B3)=1,1,0)</f>
        <v>0</v>
      </c>
    </row>
    <row r="4" customFormat="false" ht="15" hidden="false" customHeight="false" outlineLevel="0" collapsed="false">
      <c r="A4" s="29" t="n">
        <v>46244</v>
      </c>
      <c r="B4" s="30" t="s">
        <v>9</v>
      </c>
      <c r="C4" s="30" t="s">
        <v>10</v>
      </c>
      <c r="D4" s="0" t="n">
        <v>1</v>
      </c>
      <c r="E4" s="30" t="s">
        <v>73</v>
      </c>
      <c r="F4" s="30" t="s">
        <v>12</v>
      </c>
      <c r="G4" s="30" t="s">
        <v>11</v>
      </c>
      <c r="H4" s="30" t="n">
        <f aca="false">IF(COUNTIFS($A$2:A4,A4,$B$2:B4,B4,$E$2:E4,E4)=1,1,0)</f>
        <v>1</v>
      </c>
      <c r="I4" s="30" t="n">
        <f aca="false">IF(COUNTIFS($A$2:A4,A4,$E$2:E4,E4)=1,1,0)</f>
        <v>1</v>
      </c>
      <c r="J4" s="30" t="n">
        <f aca="false">IF(COUNTIFS($B$2:B4,B4)=1,1,0)</f>
        <v>0</v>
      </c>
    </row>
    <row r="5" customFormat="false" ht="15" hidden="false" customHeight="false" outlineLevel="0" collapsed="false">
      <c r="A5" s="29" t="n">
        <v>46244</v>
      </c>
      <c r="B5" s="30" t="s">
        <v>13</v>
      </c>
      <c r="C5" s="30" t="s">
        <v>14</v>
      </c>
      <c r="D5" s="0" t="n">
        <v>0.25</v>
      </c>
      <c r="E5" s="30" t="s">
        <v>81</v>
      </c>
      <c r="F5" s="30" t="s">
        <v>16</v>
      </c>
      <c r="G5" s="30" t="s">
        <v>15</v>
      </c>
      <c r="H5" s="30" t="n">
        <f aca="false">IF(COUNTIFS($A$2:A5,A5,$B$2:B5,B5,$E$2:E5,E5)=1,1,0)</f>
        <v>1</v>
      </c>
      <c r="I5" s="30" t="n">
        <f aca="false">IF(COUNTIFS($A$2:A5,A5,$E$2:E5,E5)=1,1,0)</f>
        <v>1</v>
      </c>
      <c r="J5" s="30" t="n">
        <f aca="false">IF(COUNTIFS($B$2:B5,B5)=1,1,0)</f>
        <v>1</v>
      </c>
    </row>
    <row r="6" customFormat="false" ht="15" hidden="false" customHeight="false" outlineLevel="0" collapsed="false">
      <c r="A6" s="29" t="n">
        <v>46244</v>
      </c>
      <c r="B6" s="30" t="s">
        <v>9</v>
      </c>
      <c r="C6" s="30" t="s">
        <v>10</v>
      </c>
      <c r="D6" s="0" t="n">
        <v>1</v>
      </c>
      <c r="E6" s="30" t="s">
        <v>75</v>
      </c>
      <c r="F6" s="30" t="s">
        <v>12</v>
      </c>
      <c r="G6" s="30" t="s">
        <v>11</v>
      </c>
      <c r="H6" s="30" t="n">
        <f aca="false">IF(COUNTIFS($A$2:A6,A6,$B$2:B6,B6,$E$2:E6,E6)=1,1,0)</f>
        <v>1</v>
      </c>
      <c r="I6" s="30" t="n">
        <f aca="false">IF(COUNTIFS($A$2:A6,A6,$E$2:E6,E6)=1,1,0)</f>
        <v>1</v>
      </c>
      <c r="J6" s="30" t="n">
        <f aca="false">IF(COUNTIFS($B$2:B6,B6)=1,1,0)</f>
        <v>0</v>
      </c>
    </row>
    <row r="7" customFormat="false" ht="15" hidden="false" customHeight="false" outlineLevel="0" collapsed="false">
      <c r="A7" s="29" t="n">
        <v>46244</v>
      </c>
      <c r="B7" s="30" t="s">
        <v>9</v>
      </c>
      <c r="C7" s="30" t="s">
        <v>10</v>
      </c>
      <c r="D7" s="0" t="n">
        <v>1</v>
      </c>
      <c r="E7" s="30" t="s">
        <v>80</v>
      </c>
      <c r="F7" s="30" t="s">
        <v>12</v>
      </c>
      <c r="G7" s="30" t="s">
        <v>11</v>
      </c>
      <c r="H7" s="30" t="n">
        <f aca="false">IF(COUNTIFS($A$2:A7,A7,$B$2:B7,B7,$E$2:E7,E7)=1,1,0)</f>
        <v>1</v>
      </c>
      <c r="I7" s="30" t="n">
        <f aca="false">IF(COUNTIFS($A$2:A7,A7,$E$2:E7,E7)=1,1,0)</f>
        <v>1</v>
      </c>
      <c r="J7" s="30" t="n">
        <f aca="false">IF(COUNTIFS($B$2:B7,B7)=1,1,0)</f>
        <v>0</v>
      </c>
    </row>
    <row r="8" customFormat="false" ht="15" hidden="false" customHeight="false" outlineLevel="0" collapsed="false">
      <c r="A8" s="29" t="n">
        <v>46244</v>
      </c>
      <c r="B8" s="30" t="s">
        <v>17</v>
      </c>
      <c r="C8" s="30" t="s">
        <v>18</v>
      </c>
      <c r="D8" s="0" t="n">
        <v>1.5</v>
      </c>
      <c r="E8" s="30" t="s">
        <v>77</v>
      </c>
      <c r="F8" s="30" t="s">
        <v>16</v>
      </c>
      <c r="G8" s="30" t="s">
        <v>15</v>
      </c>
      <c r="H8" s="30" t="n">
        <f aca="false">IF(COUNTIFS($A$2:A8,A8,$B$2:B8,B8,$E$2:E8,E8)=1,1,0)</f>
        <v>1</v>
      </c>
      <c r="I8" s="30" t="n">
        <f aca="false">IF(COUNTIFS($A$2:A8,A8,$E$2:E8,E8)=1,1,0)</f>
        <v>1</v>
      </c>
      <c r="J8" s="30" t="n">
        <f aca="false">IF(COUNTIFS($B$2:B8,B8)=1,1,0)</f>
        <v>1</v>
      </c>
    </row>
    <row r="9" customFormat="false" ht="15" hidden="false" customHeight="false" outlineLevel="0" collapsed="false">
      <c r="A9" s="29" t="n">
        <v>46244</v>
      </c>
      <c r="B9" s="30" t="s">
        <v>9</v>
      </c>
      <c r="C9" s="30" t="s">
        <v>10</v>
      </c>
      <c r="D9" s="0" t="n">
        <v>1</v>
      </c>
      <c r="E9" s="30" t="s">
        <v>81</v>
      </c>
      <c r="F9" s="30" t="s">
        <v>12</v>
      </c>
      <c r="G9" s="30" t="s">
        <v>11</v>
      </c>
      <c r="H9" s="30" t="n">
        <f aca="false">IF(COUNTIFS($A$2:A9,A9,$B$2:B9,B9,$E$2:E9,E9)=1,1,0)</f>
        <v>1</v>
      </c>
      <c r="I9" s="30" t="n">
        <f aca="false">IF(COUNTIFS($A$2:A9,A9,$E$2:E9,E9)=1,1,0)</f>
        <v>0</v>
      </c>
      <c r="J9" s="30" t="n">
        <f aca="false">IF(COUNTIFS($B$2:B9,B9)=1,1,0)</f>
        <v>0</v>
      </c>
    </row>
    <row r="10" customFormat="false" ht="15" hidden="false" customHeight="false" outlineLevel="0" collapsed="false">
      <c r="A10" s="29" t="n">
        <v>46244</v>
      </c>
      <c r="B10" s="30" t="s">
        <v>19</v>
      </c>
      <c r="C10" s="30" t="s">
        <v>20</v>
      </c>
      <c r="D10" s="0" t="n">
        <v>1</v>
      </c>
      <c r="E10" s="30" t="s">
        <v>71</v>
      </c>
      <c r="F10" s="30" t="s">
        <v>21</v>
      </c>
      <c r="G10" s="30" t="s">
        <v>11</v>
      </c>
      <c r="H10" s="30" t="n">
        <f aca="false">IF(COUNTIFS($A$2:A10,A10,$B$2:B10,B10,$E$2:E10,E10)=1,1,0)</f>
        <v>1</v>
      </c>
      <c r="I10" s="30" t="n">
        <f aca="false">IF(COUNTIFS($A$2:A10,A10,$E$2:E10,E10)=1,1,0)</f>
        <v>0</v>
      </c>
      <c r="J10" s="30" t="n">
        <f aca="false">IF(COUNTIFS($B$2:B10,B10)=1,1,0)</f>
        <v>1</v>
      </c>
    </row>
    <row r="11" customFormat="false" ht="15" hidden="false" customHeight="false" outlineLevel="0" collapsed="false">
      <c r="A11" s="29" t="n">
        <v>46244</v>
      </c>
      <c r="B11" s="30" t="s">
        <v>19</v>
      </c>
      <c r="C11" s="30" t="s">
        <v>20</v>
      </c>
      <c r="D11" s="0" t="n">
        <v>6.1</v>
      </c>
      <c r="E11" s="30" t="s">
        <v>73</v>
      </c>
      <c r="F11" s="30" t="s">
        <v>21</v>
      </c>
      <c r="G11" s="30" t="s">
        <v>11</v>
      </c>
      <c r="H11" s="30" t="n">
        <f aca="false">IF(COUNTIFS($A$2:A11,A11,$B$2:B11,B11,$E$2:E11,E11)=1,1,0)</f>
        <v>1</v>
      </c>
      <c r="I11" s="30" t="n">
        <f aca="false">IF(COUNTIFS($A$2:A11,A11,$E$2:E11,E11)=1,1,0)</f>
        <v>0</v>
      </c>
      <c r="J11" s="30" t="n">
        <f aca="false">IF(COUNTIFS($B$2:B11,B11)=1,1,0)</f>
        <v>0</v>
      </c>
    </row>
    <row r="12" customFormat="false" ht="15" hidden="false" customHeight="false" outlineLevel="0" collapsed="false">
      <c r="A12" s="29" t="n">
        <v>46244</v>
      </c>
      <c r="B12" s="30" t="s">
        <v>9</v>
      </c>
      <c r="C12" s="30" t="s">
        <v>10</v>
      </c>
      <c r="D12" s="0" t="n">
        <v>0.5</v>
      </c>
      <c r="E12" s="30" t="s">
        <v>75</v>
      </c>
      <c r="F12" s="30" t="s">
        <v>12</v>
      </c>
      <c r="G12" s="30" t="s">
        <v>11</v>
      </c>
      <c r="H12" s="30" t="n">
        <f aca="false">IF(COUNTIFS($A$2:A12,A12,$B$2:B12,B12,$E$2:E12,E12)=1,1,0)</f>
        <v>0</v>
      </c>
      <c r="I12" s="30" t="n">
        <f aca="false">IF(COUNTIFS($A$2:A12,A12,$E$2:E12,E12)=1,1,0)</f>
        <v>0</v>
      </c>
      <c r="J12" s="30" t="n">
        <f aca="false">IF(COUNTIFS($B$2:B12,B12)=1,1,0)</f>
        <v>0</v>
      </c>
    </row>
    <row r="13" customFormat="false" ht="15" hidden="false" customHeight="false" outlineLevel="0" collapsed="false">
      <c r="A13" s="29" t="n">
        <v>46244</v>
      </c>
      <c r="B13" s="30" t="s">
        <v>13</v>
      </c>
      <c r="C13" s="30" t="s">
        <v>14</v>
      </c>
      <c r="D13" s="0" t="n">
        <v>0.5</v>
      </c>
      <c r="E13" s="30" t="s">
        <v>80</v>
      </c>
      <c r="F13" s="30" t="s">
        <v>16</v>
      </c>
      <c r="G13" s="30" t="s">
        <v>15</v>
      </c>
      <c r="H13" s="30" t="n">
        <f aca="false">IF(COUNTIFS($A$2:A13,A13,$B$2:B13,B13,$E$2:E13,E13)=1,1,0)</f>
        <v>1</v>
      </c>
      <c r="I13" s="30" t="n">
        <f aca="false">IF(COUNTIFS($A$2:A13,A13,$E$2:E13,E13)=1,1,0)</f>
        <v>0</v>
      </c>
      <c r="J13" s="30" t="n">
        <f aca="false">IF(COUNTIFS($B$2:B13,B13)=1,1,0)</f>
        <v>0</v>
      </c>
    </row>
    <row r="14" customFormat="false" ht="15" hidden="false" customHeight="false" outlineLevel="0" collapsed="false">
      <c r="A14" s="29" t="n">
        <v>46244</v>
      </c>
      <c r="B14" s="30" t="s">
        <v>19</v>
      </c>
      <c r="C14" s="30" t="s">
        <v>20</v>
      </c>
      <c r="D14" s="0" t="n">
        <v>5.5</v>
      </c>
      <c r="E14" s="30" t="s">
        <v>81</v>
      </c>
      <c r="F14" s="30" t="s">
        <v>21</v>
      </c>
      <c r="G14" s="30" t="s">
        <v>11</v>
      </c>
      <c r="H14" s="30" t="n">
        <f aca="false">IF(COUNTIFS($A$2:A14,A14,$B$2:B14,B14,$E$2:E14,E14)=1,1,0)</f>
        <v>1</v>
      </c>
      <c r="I14" s="30" t="n">
        <f aca="false">IF(COUNTIFS($A$2:A14,A14,$E$2:E14,E14)=1,1,0)</f>
        <v>0</v>
      </c>
      <c r="J14" s="30" t="n">
        <f aca="false">IF(COUNTIFS($B$2:B14,B14)=1,1,0)</f>
        <v>0</v>
      </c>
    </row>
    <row r="15" customFormat="false" ht="15" hidden="false" customHeight="false" outlineLevel="0" collapsed="false">
      <c r="A15" s="29" t="n">
        <v>46244</v>
      </c>
      <c r="B15" s="30" t="s">
        <v>17</v>
      </c>
      <c r="C15" s="30" t="s">
        <v>18</v>
      </c>
      <c r="D15" s="0" t="n">
        <v>3.5</v>
      </c>
      <c r="E15" s="30" t="s">
        <v>75</v>
      </c>
      <c r="F15" s="30" t="s">
        <v>16</v>
      </c>
      <c r="G15" s="30" t="s">
        <v>15</v>
      </c>
      <c r="H15" s="30" t="n">
        <f aca="false">IF(COUNTIFS($A$2:A15,A15,$B$2:B15,B15,$E$2:E15,E15)=1,1,0)</f>
        <v>1</v>
      </c>
      <c r="I15" s="30" t="n">
        <f aca="false">IF(COUNTIFS($A$2:A15,A15,$E$2:E15,E15)=1,1,0)</f>
        <v>0</v>
      </c>
      <c r="J15" s="30" t="n">
        <f aca="false">IF(COUNTIFS($B$2:B15,B15)=1,1,0)</f>
        <v>0</v>
      </c>
    </row>
    <row r="16" customFormat="false" ht="15" hidden="false" customHeight="false" outlineLevel="0" collapsed="false">
      <c r="A16" s="29" t="n">
        <v>46244</v>
      </c>
      <c r="B16" s="30" t="s">
        <v>17</v>
      </c>
      <c r="C16" s="30" t="s">
        <v>18</v>
      </c>
      <c r="D16" s="0" t="n">
        <v>0.5</v>
      </c>
      <c r="E16" s="30" t="s">
        <v>80</v>
      </c>
      <c r="F16" s="30" t="s">
        <v>16</v>
      </c>
      <c r="G16" s="30" t="s">
        <v>15</v>
      </c>
      <c r="H16" s="30" t="n">
        <f aca="false">IF(COUNTIFS($A$2:A16,A16,$B$2:B16,B16,$E$2:E16,E16)=1,1,0)</f>
        <v>1</v>
      </c>
      <c r="I16" s="30" t="n">
        <f aca="false">IF(COUNTIFS($A$2:A16,A16,$E$2:E16,E16)=1,1,0)</f>
        <v>0</v>
      </c>
      <c r="J16" s="30" t="n">
        <f aca="false">IF(COUNTIFS($B$2:B16,B16)=1,1,0)</f>
        <v>0</v>
      </c>
    </row>
    <row r="17" customFormat="false" ht="15" hidden="false" customHeight="false" outlineLevel="0" collapsed="false">
      <c r="A17" s="29" t="n">
        <v>46244</v>
      </c>
      <c r="B17" s="30" t="s">
        <v>9</v>
      </c>
      <c r="C17" s="30" t="s">
        <v>10</v>
      </c>
      <c r="D17" s="0" t="n">
        <v>1</v>
      </c>
      <c r="E17" s="30" t="s">
        <v>77</v>
      </c>
      <c r="F17" s="30" t="s">
        <v>12</v>
      </c>
      <c r="G17" s="30" t="s">
        <v>11</v>
      </c>
      <c r="H17" s="30" t="n">
        <f aca="false">IF(COUNTIFS($A$2:A17,A17,$B$2:B17,B17,$E$2:E17,E17)=1,1,0)</f>
        <v>1</v>
      </c>
      <c r="I17" s="30" t="n">
        <f aca="false">IF(COUNTIFS($A$2:A17,A17,$E$2:E17,E17)=1,1,0)</f>
        <v>0</v>
      </c>
      <c r="J17" s="30" t="n">
        <f aca="false">IF(COUNTIFS($B$2:B17,B17)=1,1,0)</f>
        <v>0</v>
      </c>
    </row>
    <row r="18" customFormat="false" ht="15" hidden="false" customHeight="false" outlineLevel="0" collapsed="false">
      <c r="A18" s="29" t="n">
        <v>46244</v>
      </c>
      <c r="B18" s="30" t="s">
        <v>19</v>
      </c>
      <c r="C18" s="30" t="s">
        <v>20</v>
      </c>
      <c r="D18" s="0" t="n">
        <v>4</v>
      </c>
      <c r="E18" s="30" t="s">
        <v>71</v>
      </c>
      <c r="F18" s="30" t="s">
        <v>21</v>
      </c>
      <c r="G18" s="30" t="s">
        <v>11</v>
      </c>
      <c r="H18" s="30" t="n">
        <f aca="false">IF(COUNTIFS($A$2:A18,A18,$B$2:B18,B18,$E$2:E18,E18)=1,1,0)</f>
        <v>0</v>
      </c>
      <c r="I18" s="30" t="n">
        <f aca="false">IF(COUNTIFS($A$2:A18,A18,$E$2:E18,E18)=1,1,0)</f>
        <v>0</v>
      </c>
      <c r="J18" s="30" t="n">
        <f aca="false">IF(COUNTIFS($B$2:B18,B18)=1,1,0)</f>
        <v>0</v>
      </c>
    </row>
    <row r="19" customFormat="false" ht="15" hidden="false" customHeight="false" outlineLevel="0" collapsed="false">
      <c r="A19" s="29" t="n">
        <v>46244</v>
      </c>
      <c r="B19" s="30" t="s">
        <v>19</v>
      </c>
      <c r="C19" s="30" t="s">
        <v>20</v>
      </c>
      <c r="D19" s="0" t="n">
        <v>4</v>
      </c>
      <c r="E19" s="30" t="s">
        <v>80</v>
      </c>
      <c r="F19" s="30" t="s">
        <v>21</v>
      </c>
      <c r="G19" s="30" t="s">
        <v>11</v>
      </c>
      <c r="H19" s="30" t="n">
        <f aca="false">IF(COUNTIFS($A$2:A19,A19,$B$2:B19,B19,$E$2:E19,E19)=1,1,0)</f>
        <v>1</v>
      </c>
      <c r="I19" s="30" t="n">
        <f aca="false">IF(COUNTIFS($A$2:A19,A19,$E$2:E19,E19)=1,1,0)</f>
        <v>0</v>
      </c>
      <c r="J19" s="30" t="n">
        <f aca="false">IF(COUNTIFS($B$2:B19,B19)=1,1,0)</f>
        <v>0</v>
      </c>
    </row>
    <row r="20" customFormat="false" ht="15" hidden="false" customHeight="false" outlineLevel="0" collapsed="false">
      <c r="A20" s="29" t="n">
        <v>46244</v>
      </c>
      <c r="B20" s="30" t="s">
        <v>22</v>
      </c>
      <c r="C20" s="30" t="s">
        <v>23</v>
      </c>
      <c r="D20" s="0" t="n">
        <v>4</v>
      </c>
      <c r="E20" s="30" t="s">
        <v>77</v>
      </c>
      <c r="F20" s="30" t="s">
        <v>24</v>
      </c>
      <c r="G20" s="30" t="s">
        <v>15</v>
      </c>
      <c r="H20" s="30" t="n">
        <f aca="false">IF(COUNTIFS($A$2:A20,A20,$B$2:B20,B20,$E$2:E20,E20)=1,1,0)</f>
        <v>1</v>
      </c>
      <c r="I20" s="30" t="n">
        <f aca="false">IF(COUNTIFS($A$2:A20,A20,$E$2:E20,E20)=1,1,0)</f>
        <v>0</v>
      </c>
      <c r="J20" s="30" t="n">
        <f aca="false">IF(COUNTIFS($B$2:B20,B20)=1,1,0)</f>
        <v>1</v>
      </c>
    </row>
    <row r="21" customFormat="false" ht="15" hidden="false" customHeight="false" outlineLevel="0" collapsed="false">
      <c r="A21" s="29" t="n">
        <v>46244</v>
      </c>
      <c r="B21" s="30" t="s">
        <v>19</v>
      </c>
      <c r="C21" s="30" t="s">
        <v>20</v>
      </c>
      <c r="D21" s="0" t="n">
        <v>2.167</v>
      </c>
      <c r="E21" s="30" t="s">
        <v>75</v>
      </c>
      <c r="F21" s="30" t="s">
        <v>21</v>
      </c>
      <c r="G21" s="30" t="s">
        <v>11</v>
      </c>
      <c r="H21" s="30" t="n">
        <f aca="false">IF(COUNTIFS($A$2:A21,A21,$B$2:B21,B21,$E$2:E21,E21)=1,1,0)</f>
        <v>1</v>
      </c>
      <c r="I21" s="30" t="n">
        <f aca="false">IF(COUNTIFS($A$2:A21,A21,$E$2:E21,E21)=1,1,0)</f>
        <v>0</v>
      </c>
      <c r="J21" s="30" t="n">
        <f aca="false">IF(COUNTIFS($B$2:B21,B21)=1,1,0)</f>
        <v>0</v>
      </c>
    </row>
    <row r="22" customFormat="false" ht="15" hidden="false" customHeight="false" outlineLevel="0" collapsed="false">
      <c r="A22" s="29" t="n">
        <v>46244</v>
      </c>
      <c r="B22" s="30" t="s">
        <v>25</v>
      </c>
      <c r="C22" s="30" t="s">
        <v>26</v>
      </c>
      <c r="D22" s="0" t="n">
        <v>0.083</v>
      </c>
      <c r="E22" s="30" t="s">
        <v>71</v>
      </c>
      <c r="F22" s="30" t="s">
        <v>16</v>
      </c>
      <c r="G22" s="30" t="s">
        <v>15</v>
      </c>
      <c r="H22" s="30" t="n">
        <f aca="false">IF(COUNTIFS($A$2:A22,A22,$B$2:B22,B22,$E$2:E22,E22)=1,1,0)</f>
        <v>1</v>
      </c>
      <c r="I22" s="30" t="n">
        <f aca="false">IF(COUNTIFS($A$2:A22,A22,$E$2:E22,E22)=1,1,0)</f>
        <v>0</v>
      </c>
      <c r="J22" s="30" t="n">
        <f aca="false">IF(COUNTIFS($B$2:B22,B22)=1,1,0)</f>
        <v>1</v>
      </c>
    </row>
    <row r="23" customFormat="false" ht="15" hidden="false" customHeight="false" outlineLevel="0" collapsed="false">
      <c r="A23" s="29" t="n">
        <v>46244</v>
      </c>
      <c r="B23" s="30" t="s">
        <v>25</v>
      </c>
      <c r="C23" s="30" t="s">
        <v>26</v>
      </c>
      <c r="D23" s="0" t="n">
        <v>0.417</v>
      </c>
      <c r="E23" s="30" t="s">
        <v>71</v>
      </c>
      <c r="F23" s="30" t="s">
        <v>16</v>
      </c>
      <c r="G23" s="30" t="s">
        <v>15</v>
      </c>
      <c r="H23" s="30" t="n">
        <f aca="false">IF(COUNTIFS($A$2:A23,A23,$B$2:B23,B23,$E$2:E23,E23)=1,1,0)</f>
        <v>0</v>
      </c>
      <c r="I23" s="30" t="n">
        <f aca="false">IF(COUNTIFS($A$2:A23,A23,$E$2:E23,E23)=1,1,0)</f>
        <v>0</v>
      </c>
      <c r="J23" s="30" t="n">
        <f aca="false">IF(COUNTIFS($B$2:B23,B23)=1,1,0)</f>
        <v>0</v>
      </c>
    </row>
    <row r="24" customFormat="false" ht="15" hidden="false" customHeight="false" outlineLevel="0" collapsed="false">
      <c r="A24" s="29" t="n">
        <v>46245</v>
      </c>
      <c r="B24" s="30" t="s">
        <v>28</v>
      </c>
      <c r="C24" s="30" t="s">
        <v>29</v>
      </c>
      <c r="D24" s="0" t="n">
        <v>0.25</v>
      </c>
      <c r="E24" s="30" t="s">
        <v>71</v>
      </c>
      <c r="F24" s="30" t="s">
        <v>30</v>
      </c>
      <c r="G24" s="30" t="s">
        <v>15</v>
      </c>
      <c r="H24" s="30" t="n">
        <f aca="false">IF(COUNTIFS($A$2:A24,A24,$B$2:B24,B24,$E$2:E24,E24)=1,1,0)</f>
        <v>1</v>
      </c>
      <c r="I24" s="30" t="n">
        <f aca="false">IF(COUNTIFS($A$2:A24,A24,$E$2:E24,E24)=1,1,0)</f>
        <v>1</v>
      </c>
      <c r="J24" s="30" t="n">
        <f aca="false">IF(COUNTIFS($B$2:B24,B24)=1,1,0)</f>
        <v>1</v>
      </c>
    </row>
    <row r="25" customFormat="false" ht="15" hidden="false" customHeight="false" outlineLevel="0" collapsed="false">
      <c r="A25" s="29" t="n">
        <v>46245</v>
      </c>
      <c r="B25" s="30" t="s">
        <v>9</v>
      </c>
      <c r="C25" s="30" t="s">
        <v>10</v>
      </c>
      <c r="D25" s="0" t="n">
        <v>1</v>
      </c>
      <c r="E25" s="30" t="s">
        <v>79</v>
      </c>
      <c r="F25" s="30" t="s">
        <v>12</v>
      </c>
      <c r="G25" s="30" t="s">
        <v>11</v>
      </c>
      <c r="H25" s="30" t="n">
        <f aca="false">IF(COUNTIFS($A$2:A25,A25,$B$2:B25,B25,$E$2:E25,E25)=1,1,0)</f>
        <v>1</v>
      </c>
      <c r="I25" s="30" t="n">
        <f aca="false">IF(COUNTIFS($A$2:A25,A25,$E$2:E25,E25)=1,1,0)</f>
        <v>1</v>
      </c>
      <c r="J25" s="30" t="n">
        <f aca="false">IF(COUNTIFS($B$2:B25,B25)=1,1,0)</f>
        <v>0</v>
      </c>
    </row>
    <row r="26" customFormat="false" ht="15" hidden="false" customHeight="false" outlineLevel="0" collapsed="false">
      <c r="A26" s="29" t="n">
        <v>46245</v>
      </c>
      <c r="B26" s="30" t="s">
        <v>9</v>
      </c>
      <c r="C26" s="30" t="s">
        <v>10</v>
      </c>
      <c r="D26" s="0" t="n">
        <v>1</v>
      </c>
      <c r="E26" s="30" t="s">
        <v>73</v>
      </c>
      <c r="F26" s="30" t="s">
        <v>12</v>
      </c>
      <c r="G26" s="30" t="s">
        <v>11</v>
      </c>
      <c r="H26" s="30" t="n">
        <f aca="false">IF(COUNTIFS($A$2:A26,A26,$B$2:B26,B26,$E$2:E26,E26)=1,1,0)</f>
        <v>1</v>
      </c>
      <c r="I26" s="30" t="n">
        <f aca="false">IF(COUNTIFS($A$2:A26,A26,$E$2:E26,E26)=1,1,0)</f>
        <v>1</v>
      </c>
      <c r="J26" s="30" t="n">
        <f aca="false">IF(COUNTIFS($B$2:B26,B26)=1,1,0)</f>
        <v>0</v>
      </c>
    </row>
    <row r="27" customFormat="false" ht="15" hidden="false" customHeight="false" outlineLevel="0" collapsed="false">
      <c r="A27" s="29" t="n">
        <v>46245</v>
      </c>
      <c r="B27" s="30" t="s">
        <v>31</v>
      </c>
      <c r="C27" s="30" t="s">
        <v>32</v>
      </c>
      <c r="D27" s="0" t="n">
        <v>0.333</v>
      </c>
      <c r="E27" s="30" t="s">
        <v>81</v>
      </c>
      <c r="F27" s="30" t="s">
        <v>16</v>
      </c>
      <c r="G27" s="30" t="s">
        <v>15</v>
      </c>
      <c r="H27" s="30" t="n">
        <f aca="false">IF(COUNTIFS($A$2:A27,A27,$B$2:B27,B27,$E$2:E27,E27)=1,1,0)</f>
        <v>1</v>
      </c>
      <c r="I27" s="30" t="n">
        <f aca="false">IF(COUNTIFS($A$2:A27,A27,$E$2:E27,E27)=1,1,0)</f>
        <v>1</v>
      </c>
      <c r="J27" s="30" t="n">
        <f aca="false">IF(COUNTIFS($B$2:B27,B27)=1,1,0)</f>
        <v>1</v>
      </c>
    </row>
    <row r="28" customFormat="false" ht="15" hidden="false" customHeight="false" outlineLevel="0" collapsed="false">
      <c r="A28" s="29" t="n">
        <v>46245</v>
      </c>
      <c r="B28" s="30" t="s">
        <v>9</v>
      </c>
      <c r="C28" s="30" t="s">
        <v>10</v>
      </c>
      <c r="D28" s="0" t="n">
        <v>1</v>
      </c>
      <c r="E28" s="30" t="s">
        <v>75</v>
      </c>
      <c r="F28" s="30" t="s">
        <v>12</v>
      </c>
      <c r="G28" s="30" t="s">
        <v>11</v>
      </c>
      <c r="H28" s="30" t="n">
        <f aca="false">IF(COUNTIFS($A$2:A28,A28,$B$2:B28,B28,$E$2:E28,E28)=1,1,0)</f>
        <v>1</v>
      </c>
      <c r="I28" s="30" t="n">
        <f aca="false">IF(COUNTIFS($A$2:A28,A28,$E$2:E28,E28)=1,1,0)</f>
        <v>1</v>
      </c>
      <c r="J28" s="30" t="n">
        <f aca="false">IF(COUNTIFS($B$2:B28,B28)=1,1,0)</f>
        <v>0</v>
      </c>
    </row>
    <row r="29" customFormat="false" ht="15" hidden="false" customHeight="false" outlineLevel="0" collapsed="false">
      <c r="A29" s="29" t="n">
        <v>46245</v>
      </c>
      <c r="B29" s="30" t="s">
        <v>9</v>
      </c>
      <c r="C29" s="30" t="s">
        <v>10</v>
      </c>
      <c r="D29" s="0" t="n">
        <v>1</v>
      </c>
      <c r="E29" s="30" t="s">
        <v>80</v>
      </c>
      <c r="F29" s="30" t="s">
        <v>12</v>
      </c>
      <c r="G29" s="30" t="s">
        <v>11</v>
      </c>
      <c r="H29" s="30" t="n">
        <f aca="false">IF(COUNTIFS($A$2:A29,A29,$B$2:B29,B29,$E$2:E29,E29)=1,1,0)</f>
        <v>1</v>
      </c>
      <c r="I29" s="30" t="n">
        <f aca="false">IF(COUNTIFS($A$2:A29,A29,$E$2:E29,E29)=1,1,0)</f>
        <v>1</v>
      </c>
      <c r="J29" s="30" t="n">
        <f aca="false">IF(COUNTIFS($B$2:B29,B29)=1,1,0)</f>
        <v>0</v>
      </c>
    </row>
    <row r="30" customFormat="false" ht="15" hidden="false" customHeight="false" outlineLevel="0" collapsed="false">
      <c r="A30" s="29" t="n">
        <v>46245</v>
      </c>
      <c r="B30" s="30" t="s">
        <v>17</v>
      </c>
      <c r="C30" s="30" t="s">
        <v>18</v>
      </c>
      <c r="D30" s="0" t="n">
        <v>2</v>
      </c>
      <c r="E30" s="30" t="s">
        <v>77</v>
      </c>
      <c r="F30" s="30" t="s">
        <v>16</v>
      </c>
      <c r="G30" s="30" t="s">
        <v>15</v>
      </c>
      <c r="H30" s="30" t="n">
        <f aca="false">IF(COUNTIFS($A$2:A30,A30,$B$2:B30,B30,$E$2:E30,E30)=1,1,0)</f>
        <v>1</v>
      </c>
      <c r="I30" s="30" t="n">
        <f aca="false">IF(COUNTIFS($A$2:A30,A30,$E$2:E30,E30)=1,1,0)</f>
        <v>1</v>
      </c>
      <c r="J30" s="30" t="n">
        <f aca="false">IF(COUNTIFS($B$2:B30,B30)=1,1,0)</f>
        <v>0</v>
      </c>
    </row>
    <row r="31" customFormat="false" ht="15" hidden="false" customHeight="false" outlineLevel="0" collapsed="false">
      <c r="A31" s="29" t="n">
        <v>46245</v>
      </c>
      <c r="B31" s="30" t="s">
        <v>28</v>
      </c>
      <c r="C31" s="30" t="s">
        <v>29</v>
      </c>
      <c r="D31" s="0" t="n">
        <v>5.75</v>
      </c>
      <c r="E31" s="30" t="s">
        <v>71</v>
      </c>
      <c r="F31" s="30" t="s">
        <v>30</v>
      </c>
      <c r="G31" s="30" t="s">
        <v>15</v>
      </c>
      <c r="H31" s="30" t="n">
        <f aca="false">IF(COUNTIFS($A$2:A31,A31,$B$2:B31,B31,$E$2:E31,E31)=1,1,0)</f>
        <v>0</v>
      </c>
      <c r="I31" s="30" t="n">
        <f aca="false">IF(COUNTIFS($A$2:A31,A31,$E$2:E31,E31)=1,1,0)</f>
        <v>0</v>
      </c>
      <c r="J31" s="30" t="n">
        <f aca="false">IF(COUNTIFS($B$2:B31,B31)=1,1,0)</f>
        <v>0</v>
      </c>
    </row>
    <row r="32" customFormat="false" ht="15" hidden="false" customHeight="false" outlineLevel="0" collapsed="false">
      <c r="A32" s="29" t="n">
        <v>46245</v>
      </c>
      <c r="B32" s="30" t="s">
        <v>22</v>
      </c>
      <c r="C32" s="30" t="s">
        <v>23</v>
      </c>
      <c r="D32" s="0" t="n">
        <v>2</v>
      </c>
      <c r="E32" s="30" t="s">
        <v>81</v>
      </c>
      <c r="F32" s="30" t="s">
        <v>24</v>
      </c>
      <c r="G32" s="30" t="s">
        <v>15</v>
      </c>
      <c r="H32" s="30" t="n">
        <f aca="false">IF(COUNTIFS($A$2:A32,A32,$B$2:B32,B32,$E$2:E32,E32)=1,1,0)</f>
        <v>1</v>
      </c>
      <c r="I32" s="30" t="n">
        <f aca="false">IF(COUNTIFS($A$2:A32,A32,$E$2:E32,E32)=1,1,0)</f>
        <v>0</v>
      </c>
      <c r="J32" s="30" t="n">
        <f aca="false">IF(COUNTIFS($B$2:B32,B32)=1,1,0)</f>
        <v>0</v>
      </c>
    </row>
    <row r="33" customFormat="false" ht="15" hidden="false" customHeight="false" outlineLevel="0" collapsed="false">
      <c r="A33" s="29" t="n">
        <v>46245</v>
      </c>
      <c r="B33" s="30" t="s">
        <v>33</v>
      </c>
      <c r="C33" s="30" t="s">
        <v>34</v>
      </c>
      <c r="D33" s="0" t="n">
        <v>1</v>
      </c>
      <c r="E33" s="30" t="s">
        <v>79</v>
      </c>
      <c r="F33" s="30" t="s">
        <v>24</v>
      </c>
      <c r="G33" s="30" t="s">
        <v>15</v>
      </c>
      <c r="H33" s="30" t="n">
        <f aca="false">IF(COUNTIFS($A$2:A33,A33,$B$2:B33,B33,$E$2:E33,E33)=1,1,0)</f>
        <v>1</v>
      </c>
      <c r="I33" s="30" t="n">
        <f aca="false">IF(COUNTIFS($A$2:A33,A33,$E$2:E33,E33)=1,1,0)</f>
        <v>0</v>
      </c>
      <c r="J33" s="30" t="n">
        <f aca="false">IF(COUNTIFS($B$2:B33,B33)=1,1,0)</f>
        <v>1</v>
      </c>
    </row>
    <row r="34" customFormat="false" ht="15" hidden="false" customHeight="false" outlineLevel="0" collapsed="false">
      <c r="A34" s="29" t="n">
        <v>46245</v>
      </c>
      <c r="B34" s="30" t="s">
        <v>35</v>
      </c>
      <c r="C34" s="30" t="s">
        <v>36</v>
      </c>
      <c r="D34" s="0" t="n">
        <v>5.5</v>
      </c>
      <c r="E34" s="30" t="s">
        <v>73</v>
      </c>
      <c r="F34" s="30" t="s">
        <v>24</v>
      </c>
      <c r="G34" s="30" t="s">
        <v>15</v>
      </c>
      <c r="H34" s="30" t="n">
        <f aca="false">IF(COUNTIFS($A$2:A34,A34,$B$2:B34,B34,$E$2:E34,E34)=1,1,0)</f>
        <v>1</v>
      </c>
      <c r="I34" s="30" t="n">
        <f aca="false">IF(COUNTIFS($A$2:A34,A34,$E$2:E34,E34)=1,1,0)</f>
        <v>0</v>
      </c>
      <c r="J34" s="30" t="n">
        <f aca="false">IF(COUNTIFS($B$2:B34,B34)=1,1,0)</f>
        <v>1</v>
      </c>
    </row>
    <row r="35" customFormat="false" ht="15" hidden="false" customHeight="false" outlineLevel="0" collapsed="false">
      <c r="A35" s="29" t="n">
        <v>46245</v>
      </c>
      <c r="B35" s="30" t="s">
        <v>9</v>
      </c>
      <c r="C35" s="30" t="s">
        <v>10</v>
      </c>
      <c r="D35" s="0" t="n">
        <v>0.5</v>
      </c>
      <c r="E35" s="30" t="s">
        <v>75</v>
      </c>
      <c r="F35" s="30" t="s">
        <v>12</v>
      </c>
      <c r="G35" s="30" t="s">
        <v>11</v>
      </c>
      <c r="H35" s="30" t="n">
        <f aca="false">IF(COUNTIFS($A$2:A35,A35,$B$2:B35,B35,$E$2:E35,E35)=1,1,0)</f>
        <v>0</v>
      </c>
      <c r="I35" s="30" t="n">
        <f aca="false">IF(COUNTIFS($A$2:A35,A35,$E$2:E35,E35)=1,1,0)</f>
        <v>0</v>
      </c>
      <c r="J35" s="30" t="n">
        <f aca="false">IF(COUNTIFS($B$2:B35,B35)=1,1,0)</f>
        <v>0</v>
      </c>
    </row>
    <row r="36" customFormat="false" ht="15" hidden="false" customHeight="false" outlineLevel="0" collapsed="false">
      <c r="A36" s="29" t="n">
        <v>46245</v>
      </c>
      <c r="B36" s="30" t="s">
        <v>31</v>
      </c>
      <c r="C36" s="30" t="s">
        <v>32</v>
      </c>
      <c r="D36" s="0" t="n">
        <v>0.5</v>
      </c>
      <c r="E36" s="30" t="s">
        <v>80</v>
      </c>
      <c r="F36" s="30" t="s">
        <v>16</v>
      </c>
      <c r="G36" s="30" t="s">
        <v>15</v>
      </c>
      <c r="H36" s="30" t="n">
        <f aca="false">IF(COUNTIFS($A$2:A36,A36,$B$2:B36,B36,$E$2:E36,E36)=1,1,0)</f>
        <v>1</v>
      </c>
      <c r="I36" s="30" t="n">
        <f aca="false">IF(COUNTIFS($A$2:A36,A36,$E$2:E36,E36)=1,1,0)</f>
        <v>0</v>
      </c>
      <c r="J36" s="30" t="n">
        <f aca="false">IF(COUNTIFS($B$2:B36,B36)=1,1,0)</f>
        <v>0</v>
      </c>
    </row>
    <row r="37" customFormat="false" ht="15" hidden="false" customHeight="false" outlineLevel="0" collapsed="false">
      <c r="A37" s="29" t="n">
        <v>46245</v>
      </c>
      <c r="B37" s="30" t="s">
        <v>37</v>
      </c>
      <c r="C37" s="30" t="s">
        <v>38</v>
      </c>
      <c r="D37" s="0" t="n">
        <v>0.417</v>
      </c>
      <c r="E37" s="30" t="s">
        <v>75</v>
      </c>
      <c r="F37" s="30" t="s">
        <v>24</v>
      </c>
      <c r="G37" s="30" t="s">
        <v>15</v>
      </c>
      <c r="H37" s="30" t="n">
        <f aca="false">IF(COUNTIFS($A$2:A37,A37,$B$2:B37,B37,$E$2:E37,E37)=1,1,0)</f>
        <v>1</v>
      </c>
      <c r="I37" s="30" t="n">
        <f aca="false">IF(COUNTIFS($A$2:A37,A37,$E$2:E37,E37)=1,1,0)</f>
        <v>0</v>
      </c>
      <c r="J37" s="30" t="n">
        <f aca="false">IF(COUNTIFS($B$2:B37,B37)=1,1,0)</f>
        <v>1</v>
      </c>
    </row>
    <row r="38" customFormat="false" ht="15" hidden="false" customHeight="false" outlineLevel="0" collapsed="false">
      <c r="A38" s="29" t="n">
        <v>46245</v>
      </c>
      <c r="B38" s="30" t="s">
        <v>37</v>
      </c>
      <c r="C38" s="30" t="s">
        <v>38</v>
      </c>
      <c r="D38" s="0" t="n">
        <v>0.75</v>
      </c>
      <c r="E38" s="30" t="s">
        <v>80</v>
      </c>
      <c r="F38" s="30" t="s">
        <v>24</v>
      </c>
      <c r="G38" s="30" t="s">
        <v>15</v>
      </c>
      <c r="H38" s="30" t="n">
        <f aca="false">IF(COUNTIFS($A$2:A38,A38,$B$2:B38,B38,$E$2:E38,E38)=1,1,0)</f>
        <v>1</v>
      </c>
      <c r="I38" s="30" t="n">
        <f aca="false">IF(COUNTIFS($A$2:A38,A38,$E$2:E38,E38)=1,1,0)</f>
        <v>0</v>
      </c>
      <c r="J38" s="30" t="n">
        <f aca="false">IF(COUNTIFS($B$2:B38,B38)=1,1,0)</f>
        <v>0</v>
      </c>
    </row>
    <row r="39" customFormat="false" ht="15" hidden="false" customHeight="false" outlineLevel="0" collapsed="false">
      <c r="A39" s="29" t="n">
        <v>46245</v>
      </c>
      <c r="B39" s="30" t="s">
        <v>17</v>
      </c>
      <c r="C39" s="30" t="s">
        <v>18</v>
      </c>
      <c r="D39" s="0" t="n">
        <v>3</v>
      </c>
      <c r="E39" s="30" t="s">
        <v>75</v>
      </c>
      <c r="F39" s="30" t="s">
        <v>16</v>
      </c>
      <c r="G39" s="30" t="s">
        <v>15</v>
      </c>
      <c r="H39" s="30" t="n">
        <f aca="false">IF(COUNTIFS($A$2:A39,A39,$B$2:B39,B39,$E$2:E39,E39)=1,1,0)</f>
        <v>1</v>
      </c>
      <c r="I39" s="30" t="n">
        <f aca="false">IF(COUNTIFS($A$2:A39,A39,$E$2:E39,E39)=1,1,0)</f>
        <v>0</v>
      </c>
      <c r="J39" s="30" t="n">
        <f aca="false">IF(COUNTIFS($B$2:B39,B39)=1,1,0)</f>
        <v>0</v>
      </c>
    </row>
    <row r="40" customFormat="false" ht="15" hidden="false" customHeight="false" outlineLevel="0" collapsed="false">
      <c r="A40" s="29" t="n">
        <v>46245</v>
      </c>
      <c r="B40" s="30" t="s">
        <v>19</v>
      </c>
      <c r="C40" s="30" t="s">
        <v>20</v>
      </c>
      <c r="D40" s="0" t="n">
        <v>5.5</v>
      </c>
      <c r="E40" s="30" t="s">
        <v>79</v>
      </c>
      <c r="F40" s="30" t="s">
        <v>21</v>
      </c>
      <c r="G40" s="30" t="s">
        <v>11</v>
      </c>
      <c r="H40" s="30" t="n">
        <f aca="false">IF(COUNTIFS($A$2:A40,A40,$B$2:B40,B40,$E$2:E40,E40)=1,1,0)</f>
        <v>1</v>
      </c>
      <c r="I40" s="30" t="n">
        <f aca="false">IF(COUNTIFS($A$2:A40,A40,$E$2:E40,E40)=1,1,0)</f>
        <v>0</v>
      </c>
      <c r="J40" s="30" t="n">
        <f aca="false">IF(COUNTIFS($B$2:B40,B40)=1,1,0)</f>
        <v>0</v>
      </c>
    </row>
    <row r="41" customFormat="false" ht="15" hidden="false" customHeight="false" outlineLevel="0" collapsed="false">
      <c r="A41" s="29" t="n">
        <v>46245</v>
      </c>
      <c r="B41" s="30" t="s">
        <v>9</v>
      </c>
      <c r="C41" s="30" t="s">
        <v>10</v>
      </c>
      <c r="D41" s="0" t="n">
        <v>1</v>
      </c>
      <c r="E41" s="30" t="s">
        <v>77</v>
      </c>
      <c r="F41" s="30" t="s">
        <v>12</v>
      </c>
      <c r="G41" s="30" t="s">
        <v>11</v>
      </c>
      <c r="H41" s="30" t="n">
        <f aca="false">IF(COUNTIFS($A$2:A41,A41,$B$2:B41,B41,$E$2:E41,E41)=1,1,0)</f>
        <v>1</v>
      </c>
      <c r="I41" s="30" t="n">
        <f aca="false">IF(COUNTIFS($A$2:A41,A41,$E$2:E41,E41)=1,1,0)</f>
        <v>0</v>
      </c>
      <c r="J41" s="30" t="n">
        <f aca="false">IF(COUNTIFS($B$2:B41,B41)=1,1,0)</f>
        <v>0</v>
      </c>
    </row>
    <row r="42" customFormat="false" ht="15" hidden="false" customHeight="false" outlineLevel="0" collapsed="false">
      <c r="A42" s="29" t="n">
        <v>46245</v>
      </c>
      <c r="B42" s="30" t="s">
        <v>17</v>
      </c>
      <c r="C42" s="30" t="s">
        <v>18</v>
      </c>
      <c r="D42" s="0" t="n">
        <v>1</v>
      </c>
      <c r="E42" s="30" t="s">
        <v>80</v>
      </c>
      <c r="F42" s="30" t="s">
        <v>16</v>
      </c>
      <c r="G42" s="30" t="s">
        <v>15</v>
      </c>
      <c r="H42" s="30" t="n">
        <f aca="false">IF(COUNTIFS($A$2:A42,A42,$B$2:B42,B42,$E$2:E42,E42)=1,1,0)</f>
        <v>1</v>
      </c>
      <c r="I42" s="30" t="n">
        <f aca="false">IF(COUNTIFS($A$2:A42,A42,$E$2:E42,E42)=1,1,0)</f>
        <v>0</v>
      </c>
      <c r="J42" s="30" t="n">
        <f aca="false">IF(COUNTIFS($B$2:B42,B42)=1,1,0)</f>
        <v>0</v>
      </c>
    </row>
    <row r="43" customFormat="false" ht="15" hidden="false" customHeight="false" outlineLevel="0" collapsed="false">
      <c r="A43" s="29" t="n">
        <v>46245</v>
      </c>
      <c r="B43" s="30" t="s">
        <v>39</v>
      </c>
      <c r="C43" s="30" t="s">
        <v>40</v>
      </c>
      <c r="D43" s="0" t="n">
        <v>0.167</v>
      </c>
      <c r="E43" s="30" t="s">
        <v>81</v>
      </c>
      <c r="F43" s="30" t="s">
        <v>16</v>
      </c>
      <c r="G43" s="30" t="s">
        <v>15</v>
      </c>
      <c r="H43" s="30" t="n">
        <f aca="false">IF(COUNTIFS($A$2:A43,A43,$B$2:B43,B43,$E$2:E43,E43)=1,1,0)</f>
        <v>1</v>
      </c>
      <c r="I43" s="30" t="n">
        <f aca="false">IF(COUNTIFS($A$2:A43,A43,$E$2:E43,E43)=1,1,0)</f>
        <v>0</v>
      </c>
      <c r="J43" s="30" t="n">
        <f aca="false">IF(COUNTIFS($B$2:B43,B43)=1,1,0)</f>
        <v>1</v>
      </c>
    </row>
    <row r="44" customFormat="false" ht="15" hidden="false" customHeight="false" outlineLevel="0" collapsed="false">
      <c r="A44" s="29" t="n">
        <v>46245</v>
      </c>
      <c r="B44" s="30" t="s">
        <v>25</v>
      </c>
      <c r="C44" s="30" t="s">
        <v>26</v>
      </c>
      <c r="D44" s="0" t="n">
        <v>0.25</v>
      </c>
      <c r="E44" s="30" t="s">
        <v>81</v>
      </c>
      <c r="F44" s="30" t="s">
        <v>16</v>
      </c>
      <c r="G44" s="30" t="s">
        <v>15</v>
      </c>
      <c r="H44" s="30" t="n">
        <f aca="false">IF(COUNTIFS($A$2:A44,A44,$B$2:B44,B44,$E$2:E44,E44)=1,1,0)</f>
        <v>1</v>
      </c>
      <c r="I44" s="30" t="n">
        <f aca="false">IF(COUNTIFS($A$2:A44,A44,$E$2:E44,E44)=1,1,0)</f>
        <v>0</v>
      </c>
      <c r="J44" s="30" t="n">
        <f aca="false">IF(COUNTIFS($B$2:B44,B44)=1,1,0)</f>
        <v>0</v>
      </c>
    </row>
    <row r="45" customFormat="false" ht="15" hidden="false" customHeight="false" outlineLevel="0" collapsed="false">
      <c r="A45" s="29" t="n">
        <v>46245</v>
      </c>
      <c r="B45" s="30" t="s">
        <v>9</v>
      </c>
      <c r="C45" s="30" t="s">
        <v>10</v>
      </c>
      <c r="D45" s="0" t="n">
        <v>1</v>
      </c>
      <c r="E45" s="30" t="s">
        <v>81</v>
      </c>
      <c r="F45" s="30" t="s">
        <v>12</v>
      </c>
      <c r="G45" s="30" t="s">
        <v>11</v>
      </c>
      <c r="H45" s="30" t="n">
        <f aca="false">IF(COUNTIFS($A$2:A45,A45,$B$2:B45,B45,$E$2:E45,E45)=1,1,0)</f>
        <v>1</v>
      </c>
      <c r="I45" s="30" t="n">
        <f aca="false">IF(COUNTIFS($A$2:A45,A45,$E$2:E45,E45)=1,1,0)</f>
        <v>0</v>
      </c>
      <c r="J45" s="30" t="n">
        <f aca="false">IF(COUNTIFS($B$2:B45,B45)=1,1,0)</f>
        <v>0</v>
      </c>
    </row>
    <row r="46" customFormat="false" ht="15" hidden="false" customHeight="false" outlineLevel="0" collapsed="false">
      <c r="A46" s="29" t="n">
        <v>46245</v>
      </c>
      <c r="B46" s="30" t="s">
        <v>22</v>
      </c>
      <c r="C46" s="30" t="s">
        <v>23</v>
      </c>
      <c r="D46" s="0" t="n">
        <v>4</v>
      </c>
      <c r="E46" s="30" t="s">
        <v>77</v>
      </c>
      <c r="F46" s="30" t="s">
        <v>24</v>
      </c>
      <c r="G46" s="30" t="s">
        <v>15</v>
      </c>
      <c r="H46" s="30" t="n">
        <f aca="false">IF(COUNTIFS($A$2:A46,A46,$B$2:B46,B46,$E$2:E46,E46)=1,1,0)</f>
        <v>1</v>
      </c>
      <c r="I46" s="30" t="n">
        <f aca="false">IF(COUNTIFS($A$2:A46,A46,$E$2:E46,E46)=1,1,0)</f>
        <v>0</v>
      </c>
      <c r="J46" s="30" t="n">
        <f aca="false">IF(COUNTIFS($B$2:B46,B46)=1,1,0)</f>
        <v>0</v>
      </c>
    </row>
    <row r="47" customFormat="false" ht="15" hidden="false" customHeight="false" outlineLevel="0" collapsed="false">
      <c r="A47" s="29" t="n">
        <v>46245</v>
      </c>
      <c r="B47" s="30" t="s">
        <v>19</v>
      </c>
      <c r="C47" s="30" t="s">
        <v>20</v>
      </c>
      <c r="D47" s="0" t="n">
        <v>4</v>
      </c>
      <c r="E47" s="30" t="s">
        <v>80</v>
      </c>
      <c r="F47" s="30" t="s">
        <v>21</v>
      </c>
      <c r="G47" s="30" t="s">
        <v>11</v>
      </c>
      <c r="H47" s="30" t="n">
        <f aca="false">IF(COUNTIFS($A$2:A47,A47,$B$2:B47,B47,$E$2:E47,E47)=1,1,0)</f>
        <v>1</v>
      </c>
      <c r="I47" s="30" t="n">
        <f aca="false">IF(COUNTIFS($A$2:A47,A47,$E$2:E47,E47)=1,1,0)</f>
        <v>0</v>
      </c>
      <c r="J47" s="30" t="n">
        <f aca="false">IF(COUNTIFS($B$2:B47,B47)=1,1,0)</f>
        <v>0</v>
      </c>
    </row>
    <row r="48" customFormat="false" ht="15" hidden="false" customHeight="false" outlineLevel="0" collapsed="false">
      <c r="A48" s="29" t="n">
        <v>46245</v>
      </c>
      <c r="B48" s="30" t="s">
        <v>19</v>
      </c>
      <c r="C48" s="30" t="s">
        <v>20</v>
      </c>
      <c r="D48" s="0" t="n">
        <v>3.5</v>
      </c>
      <c r="E48" s="30" t="s">
        <v>81</v>
      </c>
      <c r="F48" s="30" t="s">
        <v>21</v>
      </c>
      <c r="G48" s="30" t="s">
        <v>11</v>
      </c>
      <c r="H48" s="30" t="n">
        <f aca="false">IF(COUNTIFS($A$2:A48,A48,$B$2:B48,B48,$E$2:E48,E48)=1,1,0)</f>
        <v>1</v>
      </c>
      <c r="I48" s="30" t="n">
        <f aca="false">IF(COUNTIFS($A$2:A48,A48,$E$2:E48,E48)=1,1,0)</f>
        <v>0</v>
      </c>
      <c r="J48" s="30" t="n">
        <f aca="false">IF(COUNTIFS($B$2:B48,B48)=1,1,0)</f>
        <v>0</v>
      </c>
    </row>
    <row r="49" customFormat="false" ht="15" hidden="false" customHeight="false" outlineLevel="0" collapsed="false">
      <c r="A49" s="29" t="n">
        <v>46245</v>
      </c>
      <c r="B49" s="30" t="s">
        <v>19</v>
      </c>
      <c r="C49" s="30" t="s">
        <v>20</v>
      </c>
      <c r="D49" s="0" t="n">
        <v>2.25</v>
      </c>
      <c r="E49" s="30" t="s">
        <v>75</v>
      </c>
      <c r="F49" s="30" t="s">
        <v>21</v>
      </c>
      <c r="G49" s="30" t="s">
        <v>11</v>
      </c>
      <c r="H49" s="30" t="n">
        <f aca="false">IF(COUNTIFS($A$2:A49,A49,$B$2:B49,B49,$E$2:E49,E49)=1,1,0)</f>
        <v>1</v>
      </c>
      <c r="I49" s="30" t="n">
        <f aca="false">IF(COUNTIFS($A$2:A49,A49,$E$2:E49,E49)=1,1,0)</f>
        <v>0</v>
      </c>
      <c r="J49" s="30" t="n">
        <f aca="false">IF(COUNTIFS($B$2:B49,B49)=1,1,0)</f>
        <v>0</v>
      </c>
    </row>
    <row r="50" customFormat="false" ht="15" hidden="false" customHeight="false" outlineLevel="0" collapsed="false">
      <c r="A50" s="29" t="n">
        <v>46245</v>
      </c>
      <c r="B50" s="30" t="s">
        <v>9</v>
      </c>
      <c r="C50" s="30" t="s">
        <v>10</v>
      </c>
      <c r="D50" s="0" t="n">
        <v>1</v>
      </c>
      <c r="E50" s="30" t="s">
        <v>71</v>
      </c>
      <c r="F50" s="30" t="s">
        <v>12</v>
      </c>
      <c r="G50" s="30" t="s">
        <v>11</v>
      </c>
      <c r="H50" s="30" t="n">
        <f aca="false">IF(COUNTIFS($A$2:A50,A50,$B$2:B50,B50,$E$2:E50,E50)=1,1,0)</f>
        <v>1</v>
      </c>
      <c r="I50" s="30" t="n">
        <f aca="false">IF(COUNTIFS($A$2:A50,A50,$E$2:E50,E50)=1,1,0)</f>
        <v>0</v>
      </c>
      <c r="J50" s="30" t="n">
        <f aca="false">IF(COUNTIFS($B$2:B50,B50)=1,1,0)</f>
        <v>0</v>
      </c>
    </row>
    <row r="51" customFormat="false" ht="15" hidden="false" customHeight="false" outlineLevel="0" collapsed="false">
      <c r="A51" s="29" t="n">
        <v>46246</v>
      </c>
      <c r="B51" s="30" t="s">
        <v>9</v>
      </c>
      <c r="C51" s="30" t="s">
        <v>10</v>
      </c>
      <c r="D51" s="0" t="n">
        <v>1</v>
      </c>
      <c r="E51" s="30" t="s">
        <v>71</v>
      </c>
      <c r="F51" s="30" t="s">
        <v>12</v>
      </c>
      <c r="G51" s="30" t="s">
        <v>11</v>
      </c>
      <c r="H51" s="30" t="n">
        <f aca="false">IF(COUNTIFS($A$2:A51,A51,$B$2:B51,B51,$E$2:E51,E51)=1,1,0)</f>
        <v>1</v>
      </c>
      <c r="I51" s="30" t="n">
        <f aca="false">IF(COUNTIFS($A$2:A51,A51,$E$2:E51,E51)=1,1,0)</f>
        <v>1</v>
      </c>
      <c r="J51" s="30" t="n">
        <f aca="false">IF(COUNTIFS($B$2:B51,B51)=1,1,0)</f>
        <v>0</v>
      </c>
    </row>
    <row r="52" customFormat="false" ht="15" hidden="false" customHeight="false" outlineLevel="0" collapsed="false">
      <c r="A52" s="29" t="n">
        <v>46246</v>
      </c>
      <c r="B52" s="30" t="s">
        <v>9</v>
      </c>
      <c r="C52" s="30" t="s">
        <v>10</v>
      </c>
      <c r="D52" s="0" t="n">
        <v>1</v>
      </c>
      <c r="E52" s="30" t="s">
        <v>79</v>
      </c>
      <c r="F52" s="30" t="s">
        <v>12</v>
      </c>
      <c r="G52" s="30" t="s">
        <v>11</v>
      </c>
      <c r="H52" s="30" t="n">
        <f aca="false">IF(COUNTIFS($A$2:A52,A52,$B$2:B52,B52,$E$2:E52,E52)=1,1,0)</f>
        <v>1</v>
      </c>
      <c r="I52" s="30" t="n">
        <f aca="false">IF(COUNTIFS($A$2:A52,A52,$E$2:E52,E52)=1,1,0)</f>
        <v>1</v>
      </c>
      <c r="J52" s="30" t="n">
        <f aca="false">IF(COUNTIFS($B$2:B52,B52)=1,1,0)</f>
        <v>0</v>
      </c>
    </row>
    <row r="53" customFormat="false" ht="15" hidden="false" customHeight="false" outlineLevel="0" collapsed="false">
      <c r="A53" s="29" t="n">
        <v>46246</v>
      </c>
      <c r="B53" s="30" t="s">
        <v>9</v>
      </c>
      <c r="C53" s="30" t="s">
        <v>10</v>
      </c>
      <c r="D53" s="0" t="n">
        <v>1</v>
      </c>
      <c r="E53" s="30" t="s">
        <v>73</v>
      </c>
      <c r="F53" s="30" t="s">
        <v>12</v>
      </c>
      <c r="G53" s="30" t="s">
        <v>11</v>
      </c>
      <c r="H53" s="30" t="n">
        <f aca="false">IF(COUNTIFS($A$2:A53,A53,$B$2:B53,B53,$E$2:E53,E53)=1,1,0)</f>
        <v>1</v>
      </c>
      <c r="I53" s="30" t="n">
        <f aca="false">IF(COUNTIFS($A$2:A53,A53,$E$2:E53,E53)=1,1,0)</f>
        <v>1</v>
      </c>
      <c r="J53" s="30" t="n">
        <f aca="false">IF(COUNTIFS($B$2:B53,B53)=1,1,0)</f>
        <v>0</v>
      </c>
    </row>
    <row r="54" customFormat="false" ht="15" hidden="false" customHeight="false" outlineLevel="0" collapsed="false">
      <c r="A54" s="29" t="n">
        <v>46246</v>
      </c>
      <c r="B54" s="30" t="s">
        <v>35</v>
      </c>
      <c r="C54" s="30" t="s">
        <v>36</v>
      </c>
      <c r="D54" s="0" t="n">
        <v>2</v>
      </c>
      <c r="E54" s="30" t="s">
        <v>81</v>
      </c>
      <c r="F54" s="30" t="s">
        <v>24</v>
      </c>
      <c r="G54" s="30" t="s">
        <v>15</v>
      </c>
      <c r="H54" s="30" t="n">
        <f aca="false">IF(COUNTIFS($A$2:A54,A54,$B$2:B54,B54,$E$2:E54,E54)=1,1,0)</f>
        <v>1</v>
      </c>
      <c r="I54" s="30" t="n">
        <f aca="false">IF(COUNTIFS($A$2:A54,A54,$E$2:E54,E54)=1,1,0)</f>
        <v>1</v>
      </c>
      <c r="J54" s="30" t="n">
        <f aca="false">IF(COUNTIFS($B$2:B54,B54)=1,1,0)</f>
        <v>0</v>
      </c>
    </row>
    <row r="55" customFormat="false" ht="15" hidden="false" customHeight="false" outlineLevel="0" collapsed="false">
      <c r="A55" s="29" t="n">
        <v>46246</v>
      </c>
      <c r="B55" s="30" t="s">
        <v>9</v>
      </c>
      <c r="C55" s="30" t="s">
        <v>10</v>
      </c>
      <c r="D55" s="0" t="n">
        <v>1</v>
      </c>
      <c r="E55" s="30" t="s">
        <v>75</v>
      </c>
      <c r="F55" s="30" t="s">
        <v>12</v>
      </c>
      <c r="G55" s="30" t="s">
        <v>11</v>
      </c>
      <c r="H55" s="30" t="n">
        <f aca="false">IF(COUNTIFS($A$2:A55,A55,$B$2:B55,B55,$E$2:E55,E55)=1,1,0)</f>
        <v>1</v>
      </c>
      <c r="I55" s="30" t="n">
        <f aca="false">IF(COUNTIFS($A$2:A55,A55,$E$2:E55,E55)=1,1,0)</f>
        <v>1</v>
      </c>
      <c r="J55" s="30" t="n">
        <f aca="false">IF(COUNTIFS($B$2:B55,B55)=1,1,0)</f>
        <v>0</v>
      </c>
    </row>
    <row r="56" customFormat="false" ht="15" hidden="false" customHeight="false" outlineLevel="0" collapsed="false">
      <c r="A56" s="29" t="n">
        <v>46246</v>
      </c>
      <c r="B56" s="30" t="s">
        <v>9</v>
      </c>
      <c r="C56" s="30" t="s">
        <v>10</v>
      </c>
      <c r="D56" s="0" t="n">
        <v>1</v>
      </c>
      <c r="E56" s="30" t="s">
        <v>80</v>
      </c>
      <c r="F56" s="30" t="s">
        <v>12</v>
      </c>
      <c r="G56" s="30" t="s">
        <v>11</v>
      </c>
      <c r="H56" s="30" t="n">
        <f aca="false">IF(COUNTIFS($A$2:A56,A56,$B$2:B56,B56,$E$2:E56,E56)=1,1,0)</f>
        <v>1</v>
      </c>
      <c r="I56" s="30" t="n">
        <f aca="false">IF(COUNTIFS($A$2:A56,A56,$E$2:E56,E56)=1,1,0)</f>
        <v>1</v>
      </c>
      <c r="J56" s="30" t="n">
        <f aca="false">IF(COUNTIFS($B$2:B56,B56)=1,1,0)</f>
        <v>0</v>
      </c>
    </row>
    <row r="57" customFormat="false" ht="15" hidden="false" customHeight="false" outlineLevel="0" collapsed="false">
      <c r="A57" s="29" t="n">
        <v>46246</v>
      </c>
      <c r="B57" s="30" t="s">
        <v>17</v>
      </c>
      <c r="C57" s="30" t="s">
        <v>18</v>
      </c>
      <c r="D57" s="0" t="n">
        <v>0.5</v>
      </c>
      <c r="E57" s="30" t="s">
        <v>77</v>
      </c>
      <c r="F57" s="30" t="s">
        <v>16</v>
      </c>
      <c r="G57" s="30" t="s">
        <v>15</v>
      </c>
      <c r="H57" s="30" t="n">
        <f aca="false">IF(COUNTIFS($A$2:A57,A57,$B$2:B57,B57,$E$2:E57,E57)=1,1,0)</f>
        <v>1</v>
      </c>
      <c r="I57" s="30" t="n">
        <f aca="false">IF(COUNTIFS($A$2:A57,A57,$E$2:E57,E57)=1,1,0)</f>
        <v>1</v>
      </c>
      <c r="J57" s="30" t="n">
        <f aca="false">IF(COUNTIFS($B$2:B57,B57)=1,1,0)</f>
        <v>0</v>
      </c>
    </row>
    <row r="58" customFormat="false" ht="15" hidden="false" customHeight="false" outlineLevel="0" collapsed="false">
      <c r="A58" s="29" t="n">
        <v>46246</v>
      </c>
      <c r="B58" s="30" t="s">
        <v>19</v>
      </c>
      <c r="C58" s="30" t="s">
        <v>20</v>
      </c>
      <c r="D58" s="0" t="n">
        <v>2.5</v>
      </c>
      <c r="E58" s="30" t="s">
        <v>77</v>
      </c>
      <c r="F58" s="30" t="s">
        <v>21</v>
      </c>
      <c r="G58" s="30" t="s">
        <v>11</v>
      </c>
      <c r="H58" s="30" t="n">
        <f aca="false">IF(COUNTIFS($A$2:A58,A58,$B$2:B58,B58,$E$2:E58,E58)=1,1,0)</f>
        <v>1</v>
      </c>
      <c r="I58" s="30" t="n">
        <f aca="false">IF(COUNTIFS($A$2:A58,A58,$E$2:E58,E58)=1,1,0)</f>
        <v>0</v>
      </c>
      <c r="J58" s="30" t="n">
        <f aca="false">IF(COUNTIFS($B$2:B58,B58)=1,1,0)</f>
        <v>0</v>
      </c>
    </row>
    <row r="59" customFormat="false" ht="15" hidden="false" customHeight="false" outlineLevel="0" collapsed="false">
      <c r="A59" s="29" t="n">
        <v>46246</v>
      </c>
      <c r="B59" s="30" t="s">
        <v>19</v>
      </c>
      <c r="C59" s="30" t="s">
        <v>20</v>
      </c>
      <c r="D59" s="0" t="n">
        <v>4.5</v>
      </c>
      <c r="E59" s="30" t="s">
        <v>71</v>
      </c>
      <c r="F59" s="30" t="s">
        <v>21</v>
      </c>
      <c r="G59" s="30" t="s">
        <v>11</v>
      </c>
      <c r="H59" s="30" t="n">
        <f aca="false">IF(COUNTIFS($A$2:A59,A59,$B$2:B59,B59,$E$2:E59,E59)=1,1,0)</f>
        <v>1</v>
      </c>
      <c r="I59" s="30" t="n">
        <f aca="false">IF(COUNTIFS($A$2:A59,A59,$E$2:E59,E59)=1,1,0)</f>
        <v>0</v>
      </c>
      <c r="J59" s="30" t="n">
        <f aca="false">IF(COUNTIFS($B$2:B59,B59)=1,1,0)</f>
        <v>0</v>
      </c>
    </row>
    <row r="60" customFormat="false" ht="15" hidden="false" customHeight="false" outlineLevel="0" collapsed="false">
      <c r="A60" s="29" t="n">
        <v>46246</v>
      </c>
      <c r="B60" s="30" t="s">
        <v>19</v>
      </c>
      <c r="C60" s="30" t="s">
        <v>20</v>
      </c>
      <c r="D60" s="0" t="n">
        <v>6.167</v>
      </c>
      <c r="E60" s="30" t="s">
        <v>79</v>
      </c>
      <c r="F60" s="30" t="s">
        <v>21</v>
      </c>
      <c r="G60" s="30" t="s">
        <v>11</v>
      </c>
      <c r="H60" s="30" t="n">
        <f aca="false">IF(COUNTIFS($A$2:A60,A60,$B$2:B60,B60,$E$2:E60,E60)=1,1,0)</f>
        <v>1</v>
      </c>
      <c r="I60" s="30" t="n">
        <f aca="false">IF(COUNTIFS($A$2:A60,A60,$E$2:E60,E60)=1,1,0)</f>
        <v>0</v>
      </c>
      <c r="J60" s="30" t="n">
        <f aca="false">IF(COUNTIFS($B$2:B60,B60)=1,1,0)</f>
        <v>0</v>
      </c>
    </row>
    <row r="61" customFormat="false" ht="15" hidden="false" customHeight="false" outlineLevel="0" collapsed="false">
      <c r="A61" s="29" t="n">
        <v>46246</v>
      </c>
      <c r="B61" s="30" t="s">
        <v>39</v>
      </c>
      <c r="C61" s="30" t="s">
        <v>40</v>
      </c>
      <c r="D61" s="0" t="n">
        <v>0.417</v>
      </c>
      <c r="E61" s="30" t="s">
        <v>73</v>
      </c>
      <c r="F61" s="30" t="s">
        <v>16</v>
      </c>
      <c r="G61" s="30" t="s">
        <v>15</v>
      </c>
      <c r="H61" s="30" t="n">
        <f aca="false">IF(COUNTIFS($A$2:A61,A61,$B$2:B61,B61,$E$2:E61,E61)=1,1,0)</f>
        <v>1</v>
      </c>
      <c r="I61" s="30" t="n">
        <f aca="false">IF(COUNTIFS($A$2:A61,A61,$E$2:E61,E61)=1,1,0)</f>
        <v>0</v>
      </c>
      <c r="J61" s="30" t="n">
        <f aca="false">IF(COUNTIFS($B$2:B61,B61)=1,1,0)</f>
        <v>0</v>
      </c>
    </row>
    <row r="62" customFormat="false" ht="15" hidden="false" customHeight="false" outlineLevel="0" collapsed="false">
      <c r="A62" s="29" t="n">
        <v>46246</v>
      </c>
      <c r="B62" s="30" t="s">
        <v>9</v>
      </c>
      <c r="C62" s="30" t="s">
        <v>10</v>
      </c>
      <c r="D62" s="0" t="n">
        <v>0.5</v>
      </c>
      <c r="E62" s="30" t="s">
        <v>75</v>
      </c>
      <c r="F62" s="30" t="s">
        <v>12</v>
      </c>
      <c r="G62" s="30" t="s">
        <v>11</v>
      </c>
      <c r="H62" s="30" t="n">
        <f aca="false">IF(COUNTIFS($A$2:A62,A62,$B$2:B62,B62,$E$2:E62,E62)=1,1,0)</f>
        <v>0</v>
      </c>
      <c r="I62" s="30" t="n">
        <f aca="false">IF(COUNTIFS($A$2:A62,A62,$E$2:E62,E62)=1,1,0)</f>
        <v>0</v>
      </c>
      <c r="J62" s="30" t="n">
        <f aca="false">IF(COUNTIFS($B$2:B62,B62)=1,1,0)</f>
        <v>0</v>
      </c>
    </row>
    <row r="63" customFormat="false" ht="15" hidden="false" customHeight="false" outlineLevel="0" collapsed="false">
      <c r="A63" s="29" t="n">
        <v>46246</v>
      </c>
      <c r="B63" s="30" t="s">
        <v>19</v>
      </c>
      <c r="C63" s="30" t="s">
        <v>20</v>
      </c>
      <c r="D63" s="0" t="n">
        <v>5.5</v>
      </c>
      <c r="E63" s="30" t="s">
        <v>80</v>
      </c>
      <c r="F63" s="30" t="s">
        <v>21</v>
      </c>
      <c r="G63" s="30" t="s">
        <v>11</v>
      </c>
      <c r="H63" s="30" t="n">
        <f aca="false">IF(COUNTIFS($A$2:A63,A63,$B$2:B63,B63,$E$2:E63,E63)=1,1,0)</f>
        <v>1</v>
      </c>
      <c r="I63" s="30" t="n">
        <f aca="false">IF(COUNTIFS($A$2:A63,A63,$E$2:E63,E63)=1,1,0)</f>
        <v>0</v>
      </c>
      <c r="J63" s="30" t="n">
        <f aca="false">IF(COUNTIFS($B$2:B63,B63)=1,1,0)</f>
        <v>0</v>
      </c>
    </row>
    <row r="64" customFormat="false" ht="15" hidden="false" customHeight="false" outlineLevel="0" collapsed="false">
      <c r="A64" s="29" t="n">
        <v>46246</v>
      </c>
      <c r="B64" s="30" t="s">
        <v>19</v>
      </c>
      <c r="C64" s="30" t="s">
        <v>20</v>
      </c>
      <c r="D64" s="0" t="n">
        <v>5</v>
      </c>
      <c r="E64" s="30" t="s">
        <v>73</v>
      </c>
      <c r="F64" s="30" t="s">
        <v>21</v>
      </c>
      <c r="G64" s="30" t="s">
        <v>11</v>
      </c>
      <c r="H64" s="30" t="n">
        <f aca="false">IF(COUNTIFS($A$2:A64,A64,$B$2:B64,B64,$E$2:E64,E64)=1,1,0)</f>
        <v>1</v>
      </c>
      <c r="I64" s="30" t="n">
        <f aca="false">IF(COUNTIFS($A$2:A64,A64,$E$2:E64,E64)=1,1,0)</f>
        <v>0</v>
      </c>
      <c r="J64" s="30" t="n">
        <f aca="false">IF(COUNTIFS($B$2:B64,B64)=1,1,0)</f>
        <v>0</v>
      </c>
    </row>
    <row r="65" customFormat="false" ht="15" hidden="false" customHeight="false" outlineLevel="0" collapsed="false">
      <c r="A65" s="29" t="n">
        <v>46246</v>
      </c>
      <c r="B65" s="30" t="s">
        <v>28</v>
      </c>
      <c r="C65" s="30" t="s">
        <v>29</v>
      </c>
      <c r="D65" s="0" t="n">
        <v>0.25</v>
      </c>
      <c r="E65" s="30" t="s">
        <v>75</v>
      </c>
      <c r="F65" s="30" t="s">
        <v>30</v>
      </c>
      <c r="G65" s="30" t="s">
        <v>15</v>
      </c>
      <c r="H65" s="30" t="n">
        <f aca="false">IF(COUNTIFS($A$2:A65,A65,$B$2:B65,B65,$E$2:E65,E65)=1,1,0)</f>
        <v>1</v>
      </c>
      <c r="I65" s="30" t="n">
        <f aca="false">IF(COUNTIFS($A$2:A65,A65,$E$2:E65,E65)=1,1,0)</f>
        <v>0</v>
      </c>
      <c r="J65" s="30" t="n">
        <f aca="false">IF(COUNTIFS($B$2:B65,B65)=1,1,0)</f>
        <v>0</v>
      </c>
    </row>
    <row r="66" customFormat="false" ht="15" hidden="false" customHeight="false" outlineLevel="0" collapsed="false">
      <c r="A66" s="29" t="n">
        <v>46246</v>
      </c>
      <c r="B66" s="30" t="s">
        <v>28</v>
      </c>
      <c r="C66" s="30" t="s">
        <v>29</v>
      </c>
      <c r="D66" s="0" t="n">
        <v>3.5</v>
      </c>
      <c r="E66" s="30" t="s">
        <v>75</v>
      </c>
      <c r="F66" s="30" t="s">
        <v>30</v>
      </c>
      <c r="G66" s="30" t="s">
        <v>15</v>
      </c>
      <c r="H66" s="30" t="n">
        <f aca="false">IF(COUNTIFS($A$2:A66,A66,$B$2:B66,B66,$E$2:E66,E66)=1,1,0)</f>
        <v>0</v>
      </c>
      <c r="I66" s="30" t="n">
        <f aca="false">IF(COUNTIFS($A$2:A66,A66,$E$2:E66,E66)=1,1,0)</f>
        <v>0</v>
      </c>
      <c r="J66" s="30" t="n">
        <f aca="false">IF(COUNTIFS($B$2:B66,B66)=1,1,0)</f>
        <v>0</v>
      </c>
    </row>
    <row r="67" customFormat="false" ht="15" hidden="false" customHeight="false" outlineLevel="0" collapsed="false">
      <c r="A67" s="29" t="n">
        <v>46246</v>
      </c>
      <c r="B67" s="30" t="s">
        <v>22</v>
      </c>
      <c r="C67" s="30" t="s">
        <v>23</v>
      </c>
      <c r="D67" s="0" t="n">
        <v>0.5</v>
      </c>
      <c r="E67" s="30" t="s">
        <v>81</v>
      </c>
      <c r="F67" s="30" t="s">
        <v>24</v>
      </c>
      <c r="G67" s="30" t="s">
        <v>15</v>
      </c>
      <c r="H67" s="30" t="n">
        <f aca="false">IF(COUNTIFS($A$2:A67,A67,$B$2:B67,B67,$E$2:E67,E67)=1,1,0)</f>
        <v>1</v>
      </c>
      <c r="I67" s="30" t="n">
        <f aca="false">IF(COUNTIFS($A$2:A67,A67,$E$2:E67,E67)=1,1,0)</f>
        <v>0</v>
      </c>
      <c r="J67" s="30" t="n">
        <f aca="false">IF(COUNTIFS($B$2:B67,B67)=1,1,0)</f>
        <v>0</v>
      </c>
    </row>
    <row r="68" customFormat="false" ht="15" hidden="false" customHeight="false" outlineLevel="0" collapsed="false">
      <c r="A68" s="29" t="n">
        <v>46246</v>
      </c>
      <c r="B68" s="30" t="s">
        <v>9</v>
      </c>
      <c r="C68" s="30" t="s">
        <v>10</v>
      </c>
      <c r="D68" s="0" t="n">
        <v>1</v>
      </c>
      <c r="E68" s="30" t="s">
        <v>81</v>
      </c>
      <c r="F68" s="30" t="s">
        <v>12</v>
      </c>
      <c r="G68" s="30" t="s">
        <v>11</v>
      </c>
      <c r="H68" s="30" t="n">
        <f aca="false">IF(COUNTIFS($A$2:A68,A68,$B$2:B68,B68,$E$2:E68,E68)=1,1,0)</f>
        <v>1</v>
      </c>
      <c r="I68" s="30" t="n">
        <f aca="false">IF(COUNTIFS($A$2:A68,A68,$E$2:E68,E68)=1,1,0)</f>
        <v>0</v>
      </c>
      <c r="J68" s="30" t="n">
        <f aca="false">IF(COUNTIFS($B$2:B68,B68)=1,1,0)</f>
        <v>0</v>
      </c>
    </row>
    <row r="69" customFormat="false" ht="15" hidden="false" customHeight="false" outlineLevel="0" collapsed="false">
      <c r="A69" s="29" t="n">
        <v>46246</v>
      </c>
      <c r="B69" s="30" t="s">
        <v>9</v>
      </c>
      <c r="C69" s="30" t="s">
        <v>10</v>
      </c>
      <c r="D69" s="0" t="n">
        <v>1</v>
      </c>
      <c r="E69" s="30" t="s">
        <v>77</v>
      </c>
      <c r="F69" s="30" t="s">
        <v>12</v>
      </c>
      <c r="G69" s="30" t="s">
        <v>11</v>
      </c>
      <c r="H69" s="30" t="n">
        <f aca="false">IF(COUNTIFS($A$2:A69,A69,$B$2:B69,B69,$E$2:E69,E69)=1,1,0)</f>
        <v>1</v>
      </c>
      <c r="I69" s="30" t="n">
        <f aca="false">IF(COUNTIFS($A$2:A69,A69,$E$2:E69,E69)=1,1,0)</f>
        <v>0</v>
      </c>
      <c r="J69" s="30" t="n">
        <f aca="false">IF(COUNTIFS($B$2:B69,B69)=1,1,0)</f>
        <v>0</v>
      </c>
    </row>
    <row r="70" customFormat="false" ht="15" hidden="false" customHeight="false" outlineLevel="0" collapsed="false">
      <c r="A70" s="29" t="n">
        <v>46246</v>
      </c>
      <c r="B70" s="30" t="s">
        <v>19</v>
      </c>
      <c r="C70" s="30" t="s">
        <v>20</v>
      </c>
      <c r="D70" s="0" t="n">
        <v>3.5</v>
      </c>
      <c r="E70" s="30" t="s">
        <v>81</v>
      </c>
      <c r="F70" s="30" t="s">
        <v>21</v>
      </c>
      <c r="G70" s="30" t="s">
        <v>11</v>
      </c>
      <c r="H70" s="30" t="n">
        <f aca="false">IF(COUNTIFS($A$2:A70,A70,$B$2:B70,B70,$E$2:E70,E70)=1,1,0)</f>
        <v>1</v>
      </c>
      <c r="I70" s="30" t="n">
        <f aca="false">IF(COUNTIFS($A$2:A70,A70,$E$2:E70,E70)=1,1,0)</f>
        <v>0</v>
      </c>
      <c r="J70" s="30" t="n">
        <f aca="false">IF(COUNTIFS($B$2:B70,B70)=1,1,0)</f>
        <v>0</v>
      </c>
    </row>
    <row r="71" customFormat="false" ht="15" hidden="false" customHeight="false" outlineLevel="0" collapsed="false">
      <c r="A71" s="29" t="n">
        <v>46246</v>
      </c>
      <c r="B71" s="30" t="s">
        <v>19</v>
      </c>
      <c r="C71" s="30" t="s">
        <v>20</v>
      </c>
      <c r="D71" s="0" t="n">
        <v>3</v>
      </c>
      <c r="E71" s="30" t="s">
        <v>77</v>
      </c>
      <c r="F71" s="30" t="s">
        <v>21</v>
      </c>
      <c r="G71" s="30" t="s">
        <v>11</v>
      </c>
      <c r="H71" s="30" t="n">
        <f aca="false">IF(COUNTIFS($A$2:A71,A71,$B$2:B71,B71,$E$2:E71,E71)=1,1,0)</f>
        <v>0</v>
      </c>
      <c r="I71" s="30" t="n">
        <f aca="false">IF(COUNTIFS($A$2:A71,A71,$E$2:E71,E71)=1,1,0)</f>
        <v>0</v>
      </c>
      <c r="J71" s="30" t="n">
        <f aca="false">IF(COUNTIFS($B$2:B71,B71)=1,1,0)</f>
        <v>0</v>
      </c>
    </row>
    <row r="72" customFormat="false" ht="15" hidden="false" customHeight="false" outlineLevel="0" collapsed="false">
      <c r="A72" s="29" t="n">
        <v>46246</v>
      </c>
      <c r="B72" s="30" t="s">
        <v>19</v>
      </c>
      <c r="C72" s="30" t="s">
        <v>20</v>
      </c>
      <c r="D72" s="0" t="n">
        <v>2.5</v>
      </c>
      <c r="E72" s="30" t="s">
        <v>75</v>
      </c>
      <c r="F72" s="30" t="s">
        <v>21</v>
      </c>
      <c r="G72" s="30" t="s">
        <v>11</v>
      </c>
      <c r="H72" s="30" t="n">
        <f aca="false">IF(COUNTIFS($A$2:A72,A72,$B$2:B72,B72,$E$2:E72,E72)=1,1,0)</f>
        <v>1</v>
      </c>
      <c r="I72" s="30" t="n">
        <f aca="false">IF(COUNTIFS($A$2:A72,A72,$E$2:E72,E72)=1,1,0)</f>
        <v>0</v>
      </c>
      <c r="J72" s="30" t="n">
        <f aca="false">IF(COUNTIFS($B$2:B72,B72)=1,1,0)</f>
        <v>0</v>
      </c>
    </row>
    <row r="73" customFormat="false" ht="15" hidden="false" customHeight="false" outlineLevel="0" collapsed="false">
      <c r="A73" s="29" t="n">
        <v>46246</v>
      </c>
      <c r="B73" s="30" t="s">
        <v>19</v>
      </c>
      <c r="C73" s="30" t="s">
        <v>20</v>
      </c>
      <c r="D73" s="0" t="n">
        <v>1</v>
      </c>
      <c r="E73" s="30" t="s">
        <v>71</v>
      </c>
      <c r="F73" s="30" t="s">
        <v>21</v>
      </c>
      <c r="G73" s="30" t="s">
        <v>11</v>
      </c>
      <c r="H73" s="30" t="n">
        <f aca="false">IF(COUNTIFS($A$2:A73,A73,$B$2:B73,B73,$E$2:E73,E73)=1,1,0)</f>
        <v>0</v>
      </c>
      <c r="I73" s="30" t="n">
        <f aca="false">IF(COUNTIFS($A$2:A73,A73,$E$2:E73,E73)=1,1,0)</f>
        <v>0</v>
      </c>
      <c r="J73" s="30" t="n">
        <f aca="false">IF(COUNTIFS($B$2:B73,B73)=1,1,0)</f>
        <v>0</v>
      </c>
    </row>
    <row r="74" customFormat="false" ht="15" hidden="false" customHeight="false" outlineLevel="0" collapsed="false">
      <c r="A74" s="29" t="n">
        <v>46247</v>
      </c>
      <c r="B74" s="30" t="s">
        <v>43</v>
      </c>
      <c r="C74" s="30" t="s">
        <v>44</v>
      </c>
      <c r="D74" s="0" t="n">
        <v>0.25</v>
      </c>
      <c r="E74" s="30" t="s">
        <v>71</v>
      </c>
      <c r="F74" s="30" t="s">
        <v>16</v>
      </c>
      <c r="G74" s="30" t="s">
        <v>15</v>
      </c>
      <c r="H74" s="30" t="n">
        <f aca="false">IF(COUNTIFS($A$2:A74,A74,$B$2:B74,B74,$E$2:E74,E74)=1,1,0)</f>
        <v>1</v>
      </c>
      <c r="I74" s="30" t="n">
        <f aca="false">IF(COUNTIFS($A$2:A74,A74,$E$2:E74,E74)=1,1,0)</f>
        <v>1</v>
      </c>
      <c r="J74" s="30" t="n">
        <f aca="false">IF(COUNTIFS($B$2:B74,B74)=1,1,0)</f>
        <v>1</v>
      </c>
    </row>
    <row r="75" customFormat="false" ht="15" hidden="false" customHeight="false" outlineLevel="0" collapsed="false">
      <c r="A75" s="29" t="n">
        <v>46247</v>
      </c>
      <c r="B75" s="30" t="s">
        <v>9</v>
      </c>
      <c r="C75" s="30" t="s">
        <v>10</v>
      </c>
      <c r="D75" s="0" t="n">
        <v>1</v>
      </c>
      <c r="E75" s="30" t="s">
        <v>79</v>
      </c>
      <c r="F75" s="30" t="s">
        <v>12</v>
      </c>
      <c r="G75" s="30" t="s">
        <v>11</v>
      </c>
      <c r="H75" s="30" t="n">
        <f aca="false">IF(COUNTIFS($A$2:A75,A75,$B$2:B75,B75,$E$2:E75,E75)=1,1,0)</f>
        <v>1</v>
      </c>
      <c r="I75" s="30" t="n">
        <f aca="false">IF(COUNTIFS($A$2:A75,A75,$E$2:E75,E75)=1,1,0)</f>
        <v>1</v>
      </c>
      <c r="J75" s="30" t="n">
        <f aca="false">IF(COUNTIFS($B$2:B75,B75)=1,1,0)</f>
        <v>0</v>
      </c>
    </row>
    <row r="76" customFormat="false" ht="15" hidden="false" customHeight="false" outlineLevel="0" collapsed="false">
      <c r="A76" s="29" t="n">
        <v>46247</v>
      </c>
      <c r="B76" s="30" t="s">
        <v>45</v>
      </c>
      <c r="C76" s="30" t="s">
        <v>46</v>
      </c>
      <c r="D76" s="0" t="n">
        <v>0.083</v>
      </c>
      <c r="E76" s="30" t="s">
        <v>73</v>
      </c>
      <c r="F76" s="30" t="s">
        <v>16</v>
      </c>
      <c r="G76" s="30" t="s">
        <v>15</v>
      </c>
      <c r="H76" s="30" t="n">
        <f aca="false">IF(COUNTIFS($A$2:A76,A76,$B$2:B76,B76,$E$2:E76,E76)=1,1,0)</f>
        <v>1</v>
      </c>
      <c r="I76" s="30" t="n">
        <f aca="false">IF(COUNTIFS($A$2:A76,A76,$E$2:E76,E76)=1,1,0)</f>
        <v>1</v>
      </c>
      <c r="J76" s="30" t="n">
        <f aca="false">IF(COUNTIFS($B$2:B76,B76)=1,1,0)</f>
        <v>1</v>
      </c>
    </row>
    <row r="77" customFormat="false" ht="15" hidden="false" customHeight="false" outlineLevel="0" collapsed="false">
      <c r="A77" s="29" t="n">
        <v>46247</v>
      </c>
      <c r="B77" s="30" t="s">
        <v>33</v>
      </c>
      <c r="C77" s="30" t="s">
        <v>34</v>
      </c>
      <c r="D77" s="0" t="n">
        <v>2.5</v>
      </c>
      <c r="E77" s="30" t="s">
        <v>81</v>
      </c>
      <c r="F77" s="30" t="s">
        <v>24</v>
      </c>
      <c r="G77" s="30" t="s">
        <v>15</v>
      </c>
      <c r="H77" s="30" t="n">
        <f aca="false">IF(COUNTIFS($A$2:A77,A77,$B$2:B77,B77,$E$2:E77,E77)=1,1,0)</f>
        <v>1</v>
      </c>
      <c r="I77" s="30" t="n">
        <f aca="false">IF(COUNTIFS($A$2:A77,A77,$E$2:E77,E77)=1,1,0)</f>
        <v>1</v>
      </c>
      <c r="J77" s="30" t="n">
        <f aca="false">IF(COUNTIFS($B$2:B77,B77)=1,1,0)</f>
        <v>0</v>
      </c>
    </row>
    <row r="78" customFormat="false" ht="15" hidden="false" customHeight="false" outlineLevel="0" collapsed="false">
      <c r="A78" s="29" t="n">
        <v>46247</v>
      </c>
      <c r="B78" s="30" t="s">
        <v>9</v>
      </c>
      <c r="C78" s="30" t="s">
        <v>10</v>
      </c>
      <c r="D78" s="0" t="n">
        <v>1</v>
      </c>
      <c r="E78" s="30" t="s">
        <v>75</v>
      </c>
      <c r="F78" s="30" t="s">
        <v>12</v>
      </c>
      <c r="G78" s="30" t="s">
        <v>11</v>
      </c>
      <c r="H78" s="30" t="n">
        <f aca="false">IF(COUNTIFS($A$2:A78,A78,$B$2:B78,B78,$E$2:E78,E78)=1,1,0)</f>
        <v>1</v>
      </c>
      <c r="I78" s="30" t="n">
        <f aca="false">IF(COUNTIFS($A$2:A78,A78,$E$2:E78,E78)=1,1,0)</f>
        <v>1</v>
      </c>
      <c r="J78" s="30" t="n">
        <f aca="false">IF(COUNTIFS($B$2:B78,B78)=1,1,0)</f>
        <v>0</v>
      </c>
    </row>
    <row r="79" customFormat="false" ht="15" hidden="false" customHeight="false" outlineLevel="0" collapsed="false">
      <c r="A79" s="29" t="n">
        <v>46247</v>
      </c>
      <c r="B79" s="30" t="s">
        <v>9</v>
      </c>
      <c r="C79" s="30" t="s">
        <v>10</v>
      </c>
      <c r="D79" s="0" t="n">
        <v>1</v>
      </c>
      <c r="E79" s="30" t="s">
        <v>80</v>
      </c>
      <c r="F79" s="30" t="s">
        <v>12</v>
      </c>
      <c r="G79" s="30" t="s">
        <v>11</v>
      </c>
      <c r="H79" s="30" t="n">
        <f aca="false">IF(COUNTIFS($A$2:A79,A79,$B$2:B79,B79,$E$2:E79,E79)=1,1,0)</f>
        <v>1</v>
      </c>
      <c r="I79" s="30" t="n">
        <f aca="false">IF(COUNTIFS($A$2:A79,A79,$E$2:E79,E79)=1,1,0)</f>
        <v>1</v>
      </c>
      <c r="J79" s="30" t="n">
        <f aca="false">IF(COUNTIFS($B$2:B79,B79)=1,1,0)</f>
        <v>0</v>
      </c>
    </row>
    <row r="80" customFormat="false" ht="15" hidden="false" customHeight="false" outlineLevel="0" collapsed="false">
      <c r="A80" s="29" t="n">
        <v>46247</v>
      </c>
      <c r="B80" s="30" t="s">
        <v>9</v>
      </c>
      <c r="C80" s="30" t="s">
        <v>10</v>
      </c>
      <c r="D80" s="0" t="n">
        <v>1</v>
      </c>
      <c r="E80" s="30" t="s">
        <v>77</v>
      </c>
      <c r="F80" s="30" t="s">
        <v>12</v>
      </c>
      <c r="G80" s="30" t="s">
        <v>11</v>
      </c>
      <c r="H80" s="30" t="n">
        <f aca="false">IF(COUNTIFS($A$2:A80,A80,$B$2:B80,B80,$E$2:E80,E80)=1,1,0)</f>
        <v>1</v>
      </c>
      <c r="I80" s="30" t="n">
        <f aca="false">IF(COUNTIFS($A$2:A80,A80,$E$2:E80,E80)=1,1,0)</f>
        <v>1</v>
      </c>
      <c r="J80" s="30" t="n">
        <f aca="false">IF(COUNTIFS($B$2:B80,B80)=1,1,0)</f>
        <v>0</v>
      </c>
    </row>
    <row r="81" customFormat="false" ht="15" hidden="false" customHeight="false" outlineLevel="0" collapsed="false">
      <c r="A81" s="29" t="n">
        <v>46247</v>
      </c>
      <c r="B81" s="30" t="s">
        <v>45</v>
      </c>
      <c r="C81" s="30" t="s">
        <v>46</v>
      </c>
      <c r="D81" s="0" t="n">
        <v>0.333</v>
      </c>
      <c r="E81" s="30" t="s">
        <v>73</v>
      </c>
      <c r="F81" s="30" t="s">
        <v>16</v>
      </c>
      <c r="G81" s="30" t="s">
        <v>15</v>
      </c>
      <c r="H81" s="30" t="n">
        <f aca="false">IF(COUNTIFS($A$2:A81,A81,$B$2:B81,B81,$E$2:E81,E81)=1,1,0)</f>
        <v>0</v>
      </c>
      <c r="I81" s="30" t="n">
        <f aca="false">IF(COUNTIFS($A$2:A81,A81,$E$2:E81,E81)=1,1,0)</f>
        <v>0</v>
      </c>
      <c r="J81" s="30" t="n">
        <f aca="false">IF(COUNTIFS($B$2:B81,B81)=1,1,0)</f>
        <v>0</v>
      </c>
    </row>
    <row r="82" customFormat="false" ht="15" hidden="false" customHeight="false" outlineLevel="0" collapsed="false">
      <c r="A82" s="29" t="n">
        <v>46247</v>
      </c>
      <c r="B82" s="30" t="s">
        <v>9</v>
      </c>
      <c r="C82" s="30" t="s">
        <v>10</v>
      </c>
      <c r="D82" s="0" t="n">
        <v>1</v>
      </c>
      <c r="E82" s="30" t="s">
        <v>71</v>
      </c>
      <c r="F82" s="30" t="s">
        <v>12</v>
      </c>
      <c r="G82" s="30" t="s">
        <v>11</v>
      </c>
      <c r="H82" s="30" t="n">
        <f aca="false">IF(COUNTIFS($A$2:A82,A82,$B$2:B82,B82,$E$2:E82,E82)=1,1,0)</f>
        <v>1</v>
      </c>
      <c r="I82" s="30" t="n">
        <f aca="false">IF(COUNTIFS($A$2:A82,A82,$E$2:E82,E82)=1,1,0)</f>
        <v>0</v>
      </c>
      <c r="J82" s="30" t="n">
        <f aca="false">IF(COUNTIFS($B$2:B82,B82)=1,1,0)</f>
        <v>0</v>
      </c>
    </row>
    <row r="83" customFormat="false" ht="15" hidden="false" customHeight="false" outlineLevel="0" collapsed="false">
      <c r="A83" s="29" t="n">
        <v>46247</v>
      </c>
      <c r="B83" s="30" t="s">
        <v>45</v>
      </c>
      <c r="C83" s="30" t="s">
        <v>46</v>
      </c>
      <c r="D83" s="0" t="n">
        <v>0.083</v>
      </c>
      <c r="E83" s="30" t="s">
        <v>73</v>
      </c>
      <c r="F83" s="30" t="s">
        <v>16</v>
      </c>
      <c r="G83" s="30" t="s">
        <v>15</v>
      </c>
      <c r="H83" s="30" t="n">
        <f aca="false">IF(COUNTIFS($A$2:A83,A83,$B$2:B83,B83,$E$2:E83,E83)=1,1,0)</f>
        <v>0</v>
      </c>
      <c r="I83" s="30" t="n">
        <f aca="false">IF(COUNTIFS($A$2:A83,A83,$E$2:E83,E83)=1,1,0)</f>
        <v>0</v>
      </c>
      <c r="J83" s="30" t="n">
        <f aca="false">IF(COUNTIFS($B$2:B83,B83)=1,1,0)</f>
        <v>0</v>
      </c>
    </row>
    <row r="84" customFormat="false" ht="15" hidden="false" customHeight="false" outlineLevel="0" collapsed="false">
      <c r="A84" s="29" t="n">
        <v>46247</v>
      </c>
      <c r="B84" s="30" t="s">
        <v>45</v>
      </c>
      <c r="C84" s="30" t="s">
        <v>46</v>
      </c>
      <c r="D84" s="0" t="n">
        <v>0.083</v>
      </c>
      <c r="E84" s="30" t="s">
        <v>73</v>
      </c>
      <c r="F84" s="30" t="s">
        <v>16</v>
      </c>
      <c r="G84" s="30" t="s">
        <v>15</v>
      </c>
      <c r="H84" s="30" t="n">
        <f aca="false">IF(COUNTIFS($A$2:A84,A84,$B$2:B84,B84,$E$2:E84,E84)=1,1,0)</f>
        <v>0</v>
      </c>
      <c r="I84" s="30" t="n">
        <f aca="false">IF(COUNTIFS($A$2:A84,A84,$E$2:E84,E84)=1,1,0)</f>
        <v>0</v>
      </c>
      <c r="J84" s="30" t="n">
        <f aca="false">IF(COUNTIFS($B$2:B84,B84)=1,1,0)</f>
        <v>0</v>
      </c>
    </row>
    <row r="85" customFormat="false" ht="15" hidden="false" customHeight="false" outlineLevel="0" collapsed="false">
      <c r="A85" s="29" t="n">
        <v>46247</v>
      </c>
      <c r="B85" s="30" t="s">
        <v>9</v>
      </c>
      <c r="C85" s="30" t="s">
        <v>10</v>
      </c>
      <c r="D85" s="0" t="n">
        <v>1</v>
      </c>
      <c r="E85" s="30" t="s">
        <v>73</v>
      </c>
      <c r="F85" s="30" t="s">
        <v>12</v>
      </c>
      <c r="G85" s="30" t="s">
        <v>11</v>
      </c>
      <c r="H85" s="30" t="n">
        <f aca="false">IF(COUNTIFS($A$2:A85,A85,$B$2:B85,B85,$E$2:E85,E85)=1,1,0)</f>
        <v>1</v>
      </c>
      <c r="I85" s="30" t="n">
        <f aca="false">IF(COUNTIFS($A$2:A85,A85,$E$2:E85,E85)=1,1,0)</f>
        <v>0</v>
      </c>
      <c r="J85" s="30" t="n">
        <f aca="false">IF(COUNTIFS($B$2:B85,B85)=1,1,0)</f>
        <v>0</v>
      </c>
    </row>
    <row r="86" customFormat="false" ht="15" hidden="false" customHeight="false" outlineLevel="0" collapsed="false">
      <c r="A86" s="29" t="n">
        <v>46247</v>
      </c>
      <c r="B86" s="30" t="s">
        <v>33</v>
      </c>
      <c r="C86" s="30" t="s">
        <v>34</v>
      </c>
      <c r="D86" s="0" t="n">
        <v>3.5</v>
      </c>
      <c r="E86" s="30" t="s">
        <v>79</v>
      </c>
      <c r="F86" s="30" t="s">
        <v>24</v>
      </c>
      <c r="G86" s="30" t="s">
        <v>15</v>
      </c>
      <c r="H86" s="30" t="n">
        <f aca="false">IF(COUNTIFS($A$2:A86,A86,$B$2:B86,B86,$E$2:E86,E86)=1,1,0)</f>
        <v>1</v>
      </c>
      <c r="I86" s="30" t="n">
        <f aca="false">IF(COUNTIFS($A$2:A86,A86,$E$2:E86,E86)=1,1,0)</f>
        <v>0</v>
      </c>
      <c r="J86" s="30" t="n">
        <f aca="false">IF(COUNTIFS($B$2:B86,B86)=1,1,0)</f>
        <v>0</v>
      </c>
    </row>
    <row r="87" customFormat="false" ht="15" hidden="false" customHeight="false" outlineLevel="0" collapsed="false">
      <c r="A87" s="29" t="n">
        <v>46247</v>
      </c>
      <c r="B87" s="30" t="s">
        <v>9</v>
      </c>
      <c r="C87" s="30" t="s">
        <v>10</v>
      </c>
      <c r="D87" s="0" t="n">
        <v>0.5</v>
      </c>
      <c r="E87" s="30" t="s">
        <v>75</v>
      </c>
      <c r="F87" s="30" t="s">
        <v>12</v>
      </c>
      <c r="G87" s="30" t="s">
        <v>11</v>
      </c>
      <c r="H87" s="30" t="n">
        <f aca="false">IF(COUNTIFS($A$2:A87,A87,$B$2:B87,B87,$E$2:E87,E87)=1,1,0)</f>
        <v>0</v>
      </c>
      <c r="I87" s="30" t="n">
        <f aca="false">IF(COUNTIFS($A$2:A87,A87,$E$2:E87,E87)=1,1,0)</f>
        <v>0</v>
      </c>
      <c r="J87" s="30" t="n">
        <f aca="false">IF(COUNTIFS($B$2:B87,B87)=1,1,0)</f>
        <v>0</v>
      </c>
    </row>
    <row r="88" customFormat="false" ht="15" hidden="false" customHeight="false" outlineLevel="0" collapsed="false">
      <c r="A88" s="29" t="n">
        <v>46247</v>
      </c>
      <c r="B88" s="30" t="s">
        <v>19</v>
      </c>
      <c r="C88" s="30" t="s">
        <v>20</v>
      </c>
      <c r="D88" s="0" t="n">
        <v>5.5</v>
      </c>
      <c r="E88" s="30" t="s">
        <v>80</v>
      </c>
      <c r="F88" s="30" t="s">
        <v>21</v>
      </c>
      <c r="G88" s="30" t="s">
        <v>11</v>
      </c>
      <c r="H88" s="30" t="n">
        <f aca="false">IF(COUNTIFS($A$2:A88,A88,$B$2:B88,B88,$E$2:E88,E88)=1,1,0)</f>
        <v>1</v>
      </c>
      <c r="I88" s="30" t="n">
        <f aca="false">IF(COUNTIFS($A$2:A88,A88,$E$2:E88,E88)=1,1,0)</f>
        <v>0</v>
      </c>
      <c r="J88" s="30" t="n">
        <f aca="false">IF(COUNTIFS($B$2:B88,B88)=1,1,0)</f>
        <v>0</v>
      </c>
    </row>
    <row r="89" customFormat="false" ht="15" hidden="false" customHeight="false" outlineLevel="0" collapsed="false">
      <c r="A89" s="29" t="n">
        <v>46247</v>
      </c>
      <c r="B89" s="30" t="s">
        <v>19</v>
      </c>
      <c r="C89" s="30" t="s">
        <v>20</v>
      </c>
      <c r="D89" s="0" t="n">
        <v>5.25</v>
      </c>
      <c r="E89" s="30" t="s">
        <v>77</v>
      </c>
      <c r="F89" s="30" t="s">
        <v>21</v>
      </c>
      <c r="G89" s="30" t="s">
        <v>11</v>
      </c>
      <c r="H89" s="30" t="n">
        <f aca="false">IF(COUNTIFS($A$2:A89,A89,$B$2:B89,B89,$E$2:E89,E89)=1,1,0)</f>
        <v>1</v>
      </c>
      <c r="I89" s="30" t="n">
        <f aca="false">IF(COUNTIFS($A$2:A89,A89,$E$2:E89,E89)=1,1,0)</f>
        <v>0</v>
      </c>
      <c r="J89" s="30" t="n">
        <f aca="false">IF(COUNTIFS($B$2:B89,B89)=1,1,0)</f>
        <v>0</v>
      </c>
    </row>
    <row r="90" customFormat="false" ht="15" hidden="false" customHeight="false" outlineLevel="0" collapsed="false">
      <c r="A90" s="29" t="n">
        <v>46247</v>
      </c>
      <c r="B90" s="30" t="s">
        <v>19</v>
      </c>
      <c r="C90" s="30" t="s">
        <v>20</v>
      </c>
      <c r="D90" s="0" t="n">
        <v>5</v>
      </c>
      <c r="E90" s="30" t="s">
        <v>71</v>
      </c>
      <c r="F90" s="30" t="s">
        <v>21</v>
      </c>
      <c r="G90" s="30" t="s">
        <v>11</v>
      </c>
      <c r="H90" s="30" t="n">
        <f aca="false">IF(COUNTIFS($A$2:A90,A90,$B$2:B90,B90,$E$2:E90,E90)=1,1,0)</f>
        <v>1</v>
      </c>
      <c r="I90" s="30" t="n">
        <f aca="false">IF(COUNTIFS($A$2:A90,A90,$E$2:E90,E90)=1,1,0)</f>
        <v>0</v>
      </c>
      <c r="J90" s="30" t="n">
        <f aca="false">IF(COUNTIFS($B$2:B90,B90)=1,1,0)</f>
        <v>0</v>
      </c>
    </row>
    <row r="91" customFormat="false" ht="15" hidden="false" customHeight="false" outlineLevel="0" collapsed="false">
      <c r="A91" s="29" t="n">
        <v>46247</v>
      </c>
      <c r="B91" s="30" t="s">
        <v>19</v>
      </c>
      <c r="C91" s="30" t="s">
        <v>20</v>
      </c>
      <c r="D91" s="0" t="n">
        <v>5.667</v>
      </c>
      <c r="E91" s="30" t="s">
        <v>75</v>
      </c>
      <c r="F91" s="30" t="s">
        <v>21</v>
      </c>
      <c r="G91" s="30" t="s">
        <v>11</v>
      </c>
      <c r="H91" s="30" t="n">
        <f aca="false">IF(COUNTIFS($A$2:A91,A91,$B$2:B91,B91,$E$2:E91,E91)=1,1,0)</f>
        <v>1</v>
      </c>
      <c r="I91" s="30" t="n">
        <f aca="false">IF(COUNTIFS($A$2:A91,A91,$E$2:E91,E91)=1,1,0)</f>
        <v>0</v>
      </c>
      <c r="J91" s="30" t="n">
        <f aca="false">IF(COUNTIFS($B$2:B91,B91)=1,1,0)</f>
        <v>0</v>
      </c>
    </row>
    <row r="92" customFormat="false" ht="15" hidden="false" customHeight="false" outlineLevel="0" collapsed="false">
      <c r="A92" s="29" t="n">
        <v>46247</v>
      </c>
      <c r="B92" s="30" t="s">
        <v>19</v>
      </c>
      <c r="C92" s="30" t="s">
        <v>20</v>
      </c>
      <c r="D92" s="0" t="n">
        <v>5</v>
      </c>
      <c r="E92" s="30" t="s">
        <v>73</v>
      </c>
      <c r="F92" s="30" t="s">
        <v>21</v>
      </c>
      <c r="G92" s="30" t="s">
        <v>11</v>
      </c>
      <c r="H92" s="30" t="n">
        <f aca="false">IF(COUNTIFS($A$2:A92,A92,$B$2:B92,B92,$E$2:E92,E92)=1,1,0)</f>
        <v>1</v>
      </c>
      <c r="I92" s="30" t="n">
        <f aca="false">IF(COUNTIFS($A$2:A92,A92,$E$2:E92,E92)=1,1,0)</f>
        <v>0</v>
      </c>
      <c r="J92" s="30" t="n">
        <f aca="false">IF(COUNTIFS($B$2:B92,B92)=1,1,0)</f>
        <v>0</v>
      </c>
    </row>
    <row r="93" customFormat="false" ht="15" hidden="false" customHeight="false" outlineLevel="0" collapsed="false">
      <c r="A93" s="29" t="n">
        <v>46247</v>
      </c>
      <c r="B93" s="30" t="s">
        <v>45</v>
      </c>
      <c r="C93" s="30" t="s">
        <v>46</v>
      </c>
      <c r="D93" s="0" t="n">
        <v>0.5</v>
      </c>
      <c r="E93" s="30" t="s">
        <v>81</v>
      </c>
      <c r="F93" s="30" t="s">
        <v>16</v>
      </c>
      <c r="G93" s="30" t="s">
        <v>15</v>
      </c>
      <c r="H93" s="30" t="n">
        <f aca="false">IF(COUNTIFS($A$2:A93,A93,$B$2:B93,B93,$E$2:E93,E93)=1,1,0)</f>
        <v>1</v>
      </c>
      <c r="I93" s="30" t="n">
        <f aca="false">IF(COUNTIFS($A$2:A93,A93,$E$2:E93,E93)=1,1,0)</f>
        <v>0</v>
      </c>
      <c r="J93" s="30" t="n">
        <f aca="false">IF(COUNTIFS($B$2:B93,B93)=1,1,0)</f>
        <v>0</v>
      </c>
    </row>
    <row r="94" customFormat="false" ht="15" hidden="false" customHeight="false" outlineLevel="0" collapsed="false">
      <c r="A94" s="29" t="n">
        <v>46247</v>
      </c>
      <c r="B94" s="30" t="s">
        <v>35</v>
      </c>
      <c r="C94" s="30" t="s">
        <v>36</v>
      </c>
      <c r="D94" s="0" t="n">
        <v>0.75</v>
      </c>
      <c r="E94" s="30" t="s">
        <v>81</v>
      </c>
      <c r="F94" s="30" t="s">
        <v>24</v>
      </c>
      <c r="G94" s="30" t="s">
        <v>15</v>
      </c>
      <c r="H94" s="30" t="n">
        <f aca="false">IF(COUNTIFS($A$2:A94,A94,$B$2:B94,B94,$E$2:E94,E94)=1,1,0)</f>
        <v>1</v>
      </c>
      <c r="I94" s="30" t="n">
        <f aca="false">IF(COUNTIFS($A$2:A94,A94,$E$2:E94,E94)=1,1,0)</f>
        <v>0</v>
      </c>
      <c r="J94" s="30" t="n">
        <f aca="false">IF(COUNTIFS($B$2:B94,B94)=1,1,0)</f>
        <v>0</v>
      </c>
    </row>
    <row r="95" customFormat="false" ht="15" hidden="false" customHeight="false" outlineLevel="0" collapsed="false">
      <c r="A95" s="29" t="n">
        <v>46247</v>
      </c>
      <c r="B95" s="30" t="s">
        <v>9</v>
      </c>
      <c r="C95" s="30" t="s">
        <v>10</v>
      </c>
      <c r="D95" s="0" t="n">
        <v>1</v>
      </c>
      <c r="E95" s="30" t="s">
        <v>81</v>
      </c>
      <c r="F95" s="30" t="s">
        <v>12</v>
      </c>
      <c r="G95" s="30" t="s">
        <v>11</v>
      </c>
      <c r="H95" s="30" t="n">
        <f aca="false">IF(COUNTIFS($A$2:A95,A95,$B$2:B95,B95,$E$2:E95,E95)=1,1,0)</f>
        <v>1</v>
      </c>
      <c r="I95" s="30" t="n">
        <f aca="false">IF(COUNTIFS($A$2:A95,A95,$E$2:E95,E95)=1,1,0)</f>
        <v>0</v>
      </c>
      <c r="J95" s="30" t="n">
        <f aca="false">IF(COUNTIFS($B$2:B95,B95)=1,1,0)</f>
        <v>0</v>
      </c>
    </row>
    <row r="96" customFormat="false" ht="15" hidden="false" customHeight="false" outlineLevel="0" collapsed="false">
      <c r="A96" s="29" t="n">
        <v>46247</v>
      </c>
      <c r="B96" s="30" t="s">
        <v>19</v>
      </c>
      <c r="C96" s="30" t="s">
        <v>20</v>
      </c>
      <c r="D96" s="0" t="n">
        <v>3</v>
      </c>
      <c r="E96" s="30" t="s">
        <v>79</v>
      </c>
      <c r="F96" s="30" t="s">
        <v>21</v>
      </c>
      <c r="G96" s="30" t="s">
        <v>11</v>
      </c>
      <c r="H96" s="30" t="n">
        <f aca="false">IF(COUNTIFS($A$2:A96,A96,$B$2:B96,B96,$E$2:E96,E96)=1,1,0)</f>
        <v>1</v>
      </c>
      <c r="I96" s="30" t="n">
        <f aca="false">IF(COUNTIFS($A$2:A96,A96,$E$2:E96,E96)=1,1,0)</f>
        <v>0</v>
      </c>
      <c r="J96" s="30" t="n">
        <f aca="false">IF(COUNTIFS($B$2:B96,B96)=1,1,0)</f>
        <v>0</v>
      </c>
    </row>
    <row r="97" customFormat="false" ht="15" hidden="false" customHeight="false" outlineLevel="0" collapsed="false">
      <c r="A97" s="29" t="n">
        <v>46247</v>
      </c>
      <c r="B97" s="30" t="s">
        <v>19</v>
      </c>
      <c r="C97" s="30" t="s">
        <v>20</v>
      </c>
      <c r="D97" s="0" t="n">
        <v>3</v>
      </c>
      <c r="E97" s="30" t="s">
        <v>81</v>
      </c>
      <c r="F97" s="30" t="s">
        <v>21</v>
      </c>
      <c r="G97" s="30" t="s">
        <v>11</v>
      </c>
      <c r="H97" s="30" t="n">
        <f aca="false">IF(COUNTIFS($A$2:A97,A97,$B$2:B97,B97,$E$2:E97,E97)=1,1,0)</f>
        <v>1</v>
      </c>
      <c r="I97" s="30" t="n">
        <f aca="false">IF(COUNTIFS($A$2:A97,A97,$E$2:E97,E97)=1,1,0)</f>
        <v>0</v>
      </c>
      <c r="J97" s="30" t="n">
        <f aca="false">IF(COUNTIFS($B$2:B97,B97)=1,1,0)</f>
        <v>0</v>
      </c>
    </row>
    <row r="98" customFormat="false" ht="15" hidden="false" customHeight="false" outlineLevel="0" collapsed="false">
      <c r="A98" s="29" t="n">
        <v>46247</v>
      </c>
      <c r="B98" s="30" t="s">
        <v>28</v>
      </c>
      <c r="C98" s="30" t="s">
        <v>29</v>
      </c>
      <c r="D98" s="0" t="n">
        <v>0.5</v>
      </c>
      <c r="E98" s="30" t="s">
        <v>71</v>
      </c>
      <c r="F98" s="30" t="s">
        <v>30</v>
      </c>
      <c r="G98" s="30" t="s">
        <v>15</v>
      </c>
      <c r="H98" s="30" t="n">
        <f aca="false">IF(COUNTIFS($A$2:A98,A98,$B$2:B98,B98,$E$2:E98,E98)=1,1,0)</f>
        <v>1</v>
      </c>
      <c r="I98" s="30" t="n">
        <f aca="false">IF(COUNTIFS($A$2:A98,A98,$E$2:E98,E98)=1,1,0)</f>
        <v>0</v>
      </c>
      <c r="J98" s="30" t="n">
        <f aca="false">IF(COUNTIFS($B$2:B98,B98)=1,1,0)</f>
        <v>0</v>
      </c>
    </row>
    <row r="99" customFormat="false" ht="15" hidden="false" customHeight="false" outlineLevel="0" collapsed="false">
      <c r="A99" s="29" t="n">
        <v>46248</v>
      </c>
      <c r="B99" s="30" t="s">
        <v>28</v>
      </c>
      <c r="C99" s="30" t="s">
        <v>29</v>
      </c>
      <c r="D99" s="0" t="n">
        <v>1</v>
      </c>
      <c r="E99" s="30" t="s">
        <v>71</v>
      </c>
      <c r="F99" s="30" t="s">
        <v>30</v>
      </c>
      <c r="G99" s="30" t="s">
        <v>15</v>
      </c>
      <c r="H99" s="30" t="n">
        <f aca="false">IF(COUNTIFS($A$2:A99,A99,$B$2:B99,B99,$E$2:E99,E99)=1,1,0)</f>
        <v>1</v>
      </c>
      <c r="I99" s="30" t="n">
        <f aca="false">IF(COUNTIFS($A$2:A99,A99,$E$2:E99,E99)=1,1,0)</f>
        <v>1</v>
      </c>
      <c r="J99" s="30" t="n">
        <f aca="false">IF(COUNTIFS($B$2:B99,B99)=1,1,0)</f>
        <v>0</v>
      </c>
    </row>
    <row r="100" customFormat="false" ht="15" hidden="false" customHeight="false" outlineLevel="0" collapsed="false">
      <c r="A100" s="29" t="n">
        <v>46248</v>
      </c>
      <c r="B100" s="30" t="s">
        <v>48</v>
      </c>
      <c r="C100" s="30" t="s">
        <v>49</v>
      </c>
      <c r="D100" s="0" t="n">
        <v>0.75</v>
      </c>
      <c r="E100" s="30" t="s">
        <v>79</v>
      </c>
      <c r="F100" s="30" t="s">
        <v>16</v>
      </c>
      <c r="G100" s="30" t="s">
        <v>15</v>
      </c>
      <c r="H100" s="30" t="n">
        <f aca="false">IF(COUNTIFS($A$2:A100,A100,$B$2:B100,B100,$E$2:E100,E100)=1,1,0)</f>
        <v>1</v>
      </c>
      <c r="I100" s="30" t="n">
        <f aca="false">IF(COUNTIFS($A$2:A100,A100,$E$2:E100,E100)=1,1,0)</f>
        <v>1</v>
      </c>
      <c r="J100" s="30" t="n">
        <f aca="false">IF(COUNTIFS($B$2:B100,B100)=1,1,0)</f>
        <v>1</v>
      </c>
    </row>
    <row r="101" customFormat="false" ht="15" hidden="false" customHeight="false" outlineLevel="0" collapsed="false">
      <c r="A101" s="29" t="n">
        <v>46248</v>
      </c>
      <c r="B101" s="30" t="s">
        <v>9</v>
      </c>
      <c r="C101" s="30" t="s">
        <v>10</v>
      </c>
      <c r="D101" s="0" t="n">
        <v>1</v>
      </c>
      <c r="E101" s="30" t="s">
        <v>73</v>
      </c>
      <c r="F101" s="30" t="s">
        <v>12</v>
      </c>
      <c r="G101" s="30" t="s">
        <v>11</v>
      </c>
      <c r="H101" s="30" t="n">
        <f aca="false">IF(COUNTIFS($A$2:A101,A101,$B$2:B101,B101,$E$2:E101,E101)=1,1,0)</f>
        <v>1</v>
      </c>
      <c r="I101" s="30" t="n">
        <f aca="false">IF(COUNTIFS($A$2:A101,A101,$E$2:E101,E101)=1,1,0)</f>
        <v>1</v>
      </c>
      <c r="J101" s="30" t="n">
        <f aca="false">IF(COUNTIFS($B$2:B101,B101)=1,1,0)</f>
        <v>0</v>
      </c>
    </row>
    <row r="102" customFormat="false" ht="15" hidden="false" customHeight="false" outlineLevel="0" collapsed="false">
      <c r="A102" s="29" t="n">
        <v>46248</v>
      </c>
      <c r="B102" s="30" t="s">
        <v>48</v>
      </c>
      <c r="C102" s="30" t="s">
        <v>49</v>
      </c>
      <c r="D102" s="0" t="n">
        <v>0.417</v>
      </c>
      <c r="E102" s="30" t="s">
        <v>81</v>
      </c>
      <c r="F102" s="30" t="s">
        <v>16</v>
      </c>
      <c r="G102" s="30" t="s">
        <v>15</v>
      </c>
      <c r="H102" s="30" t="n">
        <f aca="false">IF(COUNTIFS($A$2:A102,A102,$B$2:B102,B102,$E$2:E102,E102)=1,1,0)</f>
        <v>1</v>
      </c>
      <c r="I102" s="30" t="n">
        <f aca="false">IF(COUNTIFS($A$2:A102,A102,$E$2:E102,E102)=1,1,0)</f>
        <v>1</v>
      </c>
      <c r="J102" s="30" t="n">
        <f aca="false">IF(COUNTIFS($B$2:B102,B102)=1,1,0)</f>
        <v>0</v>
      </c>
    </row>
    <row r="103" customFormat="false" ht="15" hidden="false" customHeight="false" outlineLevel="0" collapsed="false">
      <c r="A103" s="29" t="n">
        <v>46248</v>
      </c>
      <c r="B103" s="30" t="s">
        <v>50</v>
      </c>
      <c r="C103" s="30" t="s">
        <v>51</v>
      </c>
      <c r="D103" s="0" t="n">
        <v>0.583</v>
      </c>
      <c r="E103" s="30" t="s">
        <v>75</v>
      </c>
      <c r="F103" s="30" t="s">
        <v>24</v>
      </c>
      <c r="G103" s="30" t="s">
        <v>15</v>
      </c>
      <c r="H103" s="30" t="n">
        <f aca="false">IF(COUNTIFS($A$2:A103,A103,$B$2:B103,B103,$E$2:E103,E103)=1,1,0)</f>
        <v>1</v>
      </c>
      <c r="I103" s="30" t="n">
        <f aca="false">IF(COUNTIFS($A$2:A103,A103,$E$2:E103,E103)=1,1,0)</f>
        <v>1</v>
      </c>
      <c r="J103" s="30" t="n">
        <f aca="false">IF(COUNTIFS($B$2:B103,B103)=1,1,0)</f>
        <v>1</v>
      </c>
    </row>
    <row r="104" customFormat="false" ht="15" hidden="false" customHeight="false" outlineLevel="0" collapsed="false">
      <c r="A104" s="29" t="n">
        <v>46248</v>
      </c>
      <c r="B104" s="30" t="s">
        <v>50</v>
      </c>
      <c r="C104" s="30" t="s">
        <v>51</v>
      </c>
      <c r="D104" s="0" t="n">
        <v>0.75</v>
      </c>
      <c r="E104" s="30" t="s">
        <v>77</v>
      </c>
      <c r="F104" s="30" t="s">
        <v>24</v>
      </c>
      <c r="G104" s="30" t="s">
        <v>15</v>
      </c>
      <c r="H104" s="30" t="n">
        <f aca="false">IF(COUNTIFS($A$2:A104,A104,$B$2:B104,B104,$E$2:E104,E104)=1,1,0)</f>
        <v>1</v>
      </c>
      <c r="I104" s="30" t="n">
        <f aca="false">IF(COUNTIFS($A$2:A104,A104,$E$2:E104,E104)=1,1,0)</f>
        <v>1</v>
      </c>
      <c r="J104" s="30" t="n">
        <f aca="false">IF(COUNTIFS($B$2:B104,B104)=1,1,0)</f>
        <v>0</v>
      </c>
    </row>
    <row r="105" customFormat="false" ht="15" hidden="false" customHeight="false" outlineLevel="0" collapsed="false">
      <c r="A105" s="29" t="n">
        <v>46248</v>
      </c>
      <c r="B105" s="30" t="s">
        <v>33</v>
      </c>
      <c r="C105" s="30" t="s">
        <v>34</v>
      </c>
      <c r="D105" s="0" t="n">
        <v>0.25</v>
      </c>
      <c r="E105" s="30" t="s">
        <v>81</v>
      </c>
      <c r="F105" s="30" t="s">
        <v>24</v>
      </c>
      <c r="G105" s="30" t="s">
        <v>15</v>
      </c>
      <c r="H105" s="30" t="n">
        <f aca="false">IF(COUNTIFS($A$2:A105,A105,$B$2:B105,B105,$E$2:E105,E105)=1,1,0)</f>
        <v>1</v>
      </c>
      <c r="I105" s="30" t="n">
        <f aca="false">IF(COUNTIFS($A$2:A105,A105,$E$2:E105,E105)=1,1,0)</f>
        <v>0</v>
      </c>
      <c r="J105" s="30" t="n">
        <f aca="false">IF(COUNTIFS($B$2:B105,B105)=1,1,0)</f>
        <v>0</v>
      </c>
    </row>
    <row r="106" customFormat="false" ht="15" hidden="false" customHeight="false" outlineLevel="0" collapsed="false">
      <c r="A106" s="29" t="n">
        <v>46248</v>
      </c>
      <c r="B106" s="30" t="s">
        <v>9</v>
      </c>
      <c r="C106" s="30" t="s">
        <v>10</v>
      </c>
      <c r="D106" s="0" t="n">
        <v>1</v>
      </c>
      <c r="E106" s="30" t="s">
        <v>75</v>
      </c>
      <c r="F106" s="30" t="s">
        <v>12</v>
      </c>
      <c r="G106" s="30" t="s">
        <v>11</v>
      </c>
      <c r="H106" s="30" t="n">
        <f aca="false">IF(COUNTIFS($A$2:A106,A106,$B$2:B106,B106,$E$2:E106,E106)=1,1,0)</f>
        <v>1</v>
      </c>
      <c r="I106" s="30" t="n">
        <f aca="false">IF(COUNTIFS($A$2:A106,A106,$E$2:E106,E106)=1,1,0)</f>
        <v>0</v>
      </c>
      <c r="J106" s="30" t="n">
        <f aca="false">IF(COUNTIFS($B$2:B106,B106)=1,1,0)</f>
        <v>0</v>
      </c>
    </row>
    <row r="107" customFormat="false" ht="15" hidden="false" customHeight="false" outlineLevel="0" collapsed="false">
      <c r="A107" s="29" t="n">
        <v>46248</v>
      </c>
      <c r="B107" s="30" t="s">
        <v>9</v>
      </c>
      <c r="C107" s="30" t="s">
        <v>10</v>
      </c>
      <c r="D107" s="0" t="n">
        <v>1</v>
      </c>
      <c r="E107" s="30" t="s">
        <v>81</v>
      </c>
      <c r="F107" s="30" t="s">
        <v>12</v>
      </c>
      <c r="G107" s="30" t="s">
        <v>11</v>
      </c>
      <c r="H107" s="30" t="n">
        <f aca="false">IF(COUNTIFS($A$2:A107,A107,$B$2:B107,B107,$E$2:E107,E107)=1,1,0)</f>
        <v>1</v>
      </c>
      <c r="I107" s="30" t="n">
        <f aca="false">IF(COUNTIFS($A$2:A107,A107,$E$2:E107,E107)=1,1,0)</f>
        <v>0</v>
      </c>
      <c r="J107" s="30" t="n">
        <f aca="false">IF(COUNTIFS($B$2:B107,B107)=1,1,0)</f>
        <v>0</v>
      </c>
    </row>
    <row r="108" customFormat="false" ht="15" hidden="false" customHeight="false" outlineLevel="0" collapsed="false">
      <c r="A108" s="29" t="n">
        <v>46248</v>
      </c>
      <c r="B108" s="30" t="s">
        <v>9</v>
      </c>
      <c r="C108" s="30" t="s">
        <v>10</v>
      </c>
      <c r="D108" s="0" t="n">
        <v>1</v>
      </c>
      <c r="E108" s="30" t="s">
        <v>79</v>
      </c>
      <c r="F108" s="30" t="s">
        <v>12</v>
      </c>
      <c r="G108" s="30" t="s">
        <v>11</v>
      </c>
      <c r="H108" s="30" t="n">
        <f aca="false">IF(COUNTIFS($A$2:A108,A108,$B$2:B108,B108,$E$2:E108,E108)=1,1,0)</f>
        <v>1</v>
      </c>
      <c r="I108" s="30" t="n">
        <f aca="false">IF(COUNTIFS($A$2:A108,A108,$E$2:E108,E108)=1,1,0)</f>
        <v>0</v>
      </c>
      <c r="J108" s="30" t="n">
        <f aca="false">IF(COUNTIFS($B$2:B108,B108)=1,1,0)</f>
        <v>0</v>
      </c>
    </row>
    <row r="109" customFormat="false" ht="15" hidden="false" customHeight="false" outlineLevel="0" collapsed="false">
      <c r="A109" s="29" t="n">
        <v>46248</v>
      </c>
      <c r="B109" s="30" t="s">
        <v>50</v>
      </c>
      <c r="C109" s="30" t="s">
        <v>51</v>
      </c>
      <c r="D109" s="0" t="n">
        <v>0.5</v>
      </c>
      <c r="E109" s="30" t="s">
        <v>77</v>
      </c>
      <c r="F109" s="30" t="s">
        <v>24</v>
      </c>
      <c r="G109" s="30" t="s">
        <v>15</v>
      </c>
      <c r="H109" s="30" t="n">
        <f aca="false">IF(COUNTIFS($A$2:A109,A109,$B$2:B109,B109,$E$2:E109,E109)=1,1,0)</f>
        <v>0</v>
      </c>
      <c r="I109" s="30" t="n">
        <f aca="false">IF(COUNTIFS($A$2:A109,A109,$E$2:E109,E109)=1,1,0)</f>
        <v>0</v>
      </c>
      <c r="J109" s="30" t="n">
        <f aca="false">IF(COUNTIFS($B$2:B109,B109)=1,1,0)</f>
        <v>0</v>
      </c>
    </row>
    <row r="110" customFormat="false" ht="15" hidden="false" customHeight="false" outlineLevel="0" collapsed="false">
      <c r="A110" s="29" t="n">
        <v>46248</v>
      </c>
      <c r="B110" s="30" t="s">
        <v>9</v>
      </c>
      <c r="C110" s="30" t="s">
        <v>10</v>
      </c>
      <c r="D110" s="0" t="n">
        <v>1</v>
      </c>
      <c r="E110" s="30" t="s">
        <v>71</v>
      </c>
      <c r="F110" s="30" t="s">
        <v>12</v>
      </c>
      <c r="G110" s="30" t="s">
        <v>11</v>
      </c>
      <c r="H110" s="30" t="n">
        <f aca="false">IF(COUNTIFS($A$2:A110,A110,$B$2:B110,B110,$E$2:E110,E110)=1,1,0)</f>
        <v>1</v>
      </c>
      <c r="I110" s="30" t="n">
        <f aca="false">IF(COUNTIFS($A$2:A110,A110,$E$2:E110,E110)=1,1,0)</f>
        <v>0</v>
      </c>
      <c r="J110" s="30" t="n">
        <f aca="false">IF(COUNTIFS($B$2:B110,B110)=1,1,0)</f>
        <v>0</v>
      </c>
    </row>
    <row r="111" customFormat="false" ht="15" hidden="false" customHeight="false" outlineLevel="0" collapsed="false">
      <c r="A111" s="29" t="n">
        <v>46248</v>
      </c>
      <c r="B111" s="30" t="s">
        <v>9</v>
      </c>
      <c r="C111" s="30" t="s">
        <v>10</v>
      </c>
      <c r="D111" s="0" t="n">
        <v>1</v>
      </c>
      <c r="E111" s="30" t="s">
        <v>77</v>
      </c>
      <c r="F111" s="30" t="s">
        <v>12</v>
      </c>
      <c r="G111" s="30" t="s">
        <v>11</v>
      </c>
      <c r="H111" s="30" t="n">
        <f aca="false">IF(COUNTIFS($A$2:A111,A111,$B$2:B111,B111,$E$2:E111,E111)=1,1,0)</f>
        <v>1</v>
      </c>
      <c r="I111" s="30" t="n">
        <f aca="false">IF(COUNTIFS($A$2:A111,A111,$E$2:E111,E111)=1,1,0)</f>
        <v>0</v>
      </c>
      <c r="J111" s="30" t="n">
        <f aca="false">IF(COUNTIFS($B$2:B111,B111)=1,1,0)</f>
        <v>0</v>
      </c>
    </row>
    <row r="112" customFormat="false" ht="15" hidden="false" customHeight="false" outlineLevel="0" collapsed="false">
      <c r="A112" s="29" t="n">
        <v>46248</v>
      </c>
      <c r="B112" s="30" t="s">
        <v>9</v>
      </c>
      <c r="C112" s="30" t="s">
        <v>10</v>
      </c>
      <c r="D112" s="0" t="n">
        <v>0.5</v>
      </c>
      <c r="E112" s="30" t="s">
        <v>75</v>
      </c>
      <c r="F112" s="30" t="s">
        <v>12</v>
      </c>
      <c r="G112" s="30" t="s">
        <v>11</v>
      </c>
      <c r="H112" s="30" t="n">
        <f aca="false">IF(COUNTIFS($A$2:A112,A112,$B$2:B112,B112,$E$2:E112,E112)=1,1,0)</f>
        <v>0</v>
      </c>
      <c r="I112" s="30" t="n">
        <f aca="false">IF(COUNTIFS($A$2:A112,A112,$E$2:E112,E112)=1,1,0)</f>
        <v>0</v>
      </c>
      <c r="J112" s="30" t="n">
        <f aca="false">IF(COUNTIFS($B$2:B112,B112)=1,1,0)</f>
        <v>0</v>
      </c>
    </row>
    <row r="113" customFormat="false" ht="15" hidden="false" customHeight="false" outlineLevel="0" collapsed="false">
      <c r="A113" s="29" t="n">
        <v>46248</v>
      </c>
      <c r="B113" s="30" t="s">
        <v>19</v>
      </c>
      <c r="C113" s="30" t="s">
        <v>20</v>
      </c>
      <c r="D113" s="0" t="n">
        <v>5</v>
      </c>
      <c r="E113" s="30" t="s">
        <v>81</v>
      </c>
      <c r="F113" s="30" t="s">
        <v>21</v>
      </c>
      <c r="G113" s="30" t="s">
        <v>11</v>
      </c>
      <c r="H113" s="30" t="n">
        <f aca="false">IF(COUNTIFS($A$2:A113,A113,$B$2:B113,B113,$E$2:E113,E113)=1,1,0)</f>
        <v>1</v>
      </c>
      <c r="I113" s="30" t="n">
        <f aca="false">IF(COUNTIFS($A$2:A113,A113,$E$2:E113,E113)=1,1,0)</f>
        <v>0</v>
      </c>
      <c r="J113" s="30" t="n">
        <f aca="false">IF(COUNTIFS($B$2:B113,B113)=1,1,0)</f>
        <v>0</v>
      </c>
    </row>
    <row r="114" customFormat="false" ht="15" hidden="false" customHeight="false" outlineLevel="0" collapsed="false">
      <c r="A114" s="29" t="n">
        <v>46248</v>
      </c>
      <c r="B114" s="30" t="s">
        <v>19</v>
      </c>
      <c r="C114" s="30" t="s">
        <v>20</v>
      </c>
      <c r="D114" s="0" t="n">
        <v>5.5</v>
      </c>
      <c r="E114" s="30" t="s">
        <v>79</v>
      </c>
      <c r="F114" s="30" t="s">
        <v>21</v>
      </c>
      <c r="G114" s="30" t="s">
        <v>11</v>
      </c>
      <c r="H114" s="30" t="n">
        <f aca="false">IF(COUNTIFS($A$2:A114,A114,$B$2:B114,B114,$E$2:E114,E114)=1,1,0)</f>
        <v>1</v>
      </c>
      <c r="I114" s="30" t="n">
        <f aca="false">IF(COUNTIFS($A$2:A114,A114,$E$2:E114,E114)=1,1,0)</f>
        <v>0</v>
      </c>
      <c r="J114" s="30" t="n">
        <f aca="false">IF(COUNTIFS($B$2:B114,B114)=1,1,0)</f>
        <v>0</v>
      </c>
    </row>
    <row r="115" customFormat="false" ht="15" hidden="false" customHeight="false" outlineLevel="0" collapsed="false">
      <c r="A115" s="29" t="n">
        <v>46248</v>
      </c>
      <c r="B115" s="30" t="s">
        <v>52</v>
      </c>
      <c r="C115" s="30" t="s">
        <v>53</v>
      </c>
      <c r="D115" s="0" t="n">
        <v>0.5</v>
      </c>
      <c r="E115" s="30" t="s">
        <v>71</v>
      </c>
      <c r="F115" s="30" t="s">
        <v>16</v>
      </c>
      <c r="G115" s="30" t="s">
        <v>15</v>
      </c>
      <c r="H115" s="30" t="n">
        <f aca="false">IF(COUNTIFS($A$2:A115,A115,$B$2:B115,B115,$E$2:E115,E115)=1,1,0)</f>
        <v>1</v>
      </c>
      <c r="I115" s="30" t="n">
        <f aca="false">IF(COUNTIFS($A$2:A115,A115,$E$2:E115,E115)=1,1,0)</f>
        <v>0</v>
      </c>
      <c r="J115" s="30" t="n">
        <f aca="false">IF(COUNTIFS($B$2:B115,B115)=1,1,0)</f>
        <v>1</v>
      </c>
    </row>
    <row r="116" customFormat="false" ht="15" hidden="false" customHeight="false" outlineLevel="0" collapsed="false">
      <c r="A116" s="29" t="n">
        <v>46248</v>
      </c>
      <c r="B116" s="30" t="s">
        <v>19</v>
      </c>
      <c r="C116" s="30" t="s">
        <v>20</v>
      </c>
      <c r="D116" s="0" t="n">
        <v>5.5</v>
      </c>
      <c r="E116" s="30" t="s">
        <v>75</v>
      </c>
      <c r="F116" s="30" t="s">
        <v>21</v>
      </c>
      <c r="G116" s="30" t="s">
        <v>11</v>
      </c>
      <c r="H116" s="30" t="n">
        <f aca="false">IF(COUNTIFS($A$2:A116,A116,$B$2:B116,B116,$E$2:E116,E116)=1,1,0)</f>
        <v>1</v>
      </c>
      <c r="I116" s="30" t="n">
        <f aca="false">IF(COUNTIFS($A$2:A116,A116,$E$2:E116,E116)=1,1,0)</f>
        <v>0</v>
      </c>
      <c r="J116" s="30" t="n">
        <f aca="false">IF(COUNTIFS($B$2:B116,B116)=1,1,0)</f>
        <v>0</v>
      </c>
    </row>
    <row r="117" customFormat="false" ht="15" hidden="false" customHeight="false" outlineLevel="0" collapsed="false">
      <c r="A117" s="29" t="n">
        <v>46248</v>
      </c>
      <c r="B117" s="30" t="s">
        <v>19</v>
      </c>
      <c r="C117" s="30" t="s">
        <v>20</v>
      </c>
      <c r="D117" s="0" t="n">
        <v>4.5</v>
      </c>
      <c r="E117" s="30" t="s">
        <v>77</v>
      </c>
      <c r="F117" s="30" t="s">
        <v>21</v>
      </c>
      <c r="G117" s="30" t="s">
        <v>11</v>
      </c>
      <c r="H117" s="30" t="n">
        <f aca="false">IF(COUNTIFS($A$2:A117,A117,$B$2:B117,B117,$E$2:E117,E117)=1,1,0)</f>
        <v>1</v>
      </c>
      <c r="I117" s="30" t="n">
        <f aca="false">IF(COUNTIFS($A$2:A117,A117,$E$2:E117,E117)=1,1,0)</f>
        <v>0</v>
      </c>
      <c r="J117" s="30" t="n">
        <f aca="false">IF(COUNTIFS($B$2:B117,B117)=1,1,0)</f>
        <v>0</v>
      </c>
    </row>
    <row r="118" customFormat="false" ht="15" hidden="false" customHeight="false" outlineLevel="0" collapsed="false">
      <c r="A118" s="29" t="n">
        <v>46248</v>
      </c>
      <c r="B118" s="30" t="s">
        <v>52</v>
      </c>
      <c r="C118" s="30" t="s">
        <v>53</v>
      </c>
      <c r="D118" s="0" t="n">
        <v>0.75</v>
      </c>
      <c r="E118" s="30" t="s">
        <v>71</v>
      </c>
      <c r="F118" s="30" t="s">
        <v>16</v>
      </c>
      <c r="G118" s="30" t="s">
        <v>15</v>
      </c>
      <c r="H118" s="30" t="n">
        <f aca="false">IF(COUNTIFS($A$2:A118,A118,$B$2:B118,B118,$E$2:E118,E118)=1,1,0)</f>
        <v>0</v>
      </c>
      <c r="I118" s="30" t="n">
        <f aca="false">IF(COUNTIFS($A$2:A118,A118,$E$2:E118,E118)=1,1,0)</f>
        <v>0</v>
      </c>
      <c r="J118" s="30" t="n">
        <f aca="false">IF(COUNTIFS($B$2:B118,B118)=1,1,0)</f>
        <v>0</v>
      </c>
    </row>
    <row r="119" customFormat="false" ht="15" hidden="false" customHeight="false" outlineLevel="0" collapsed="false">
      <c r="A119" s="29" t="n">
        <v>46248</v>
      </c>
      <c r="B119" s="30" t="s">
        <v>52</v>
      </c>
      <c r="C119" s="30" t="s">
        <v>53</v>
      </c>
      <c r="D119" s="0" t="n">
        <v>0.167</v>
      </c>
      <c r="E119" s="30" t="s">
        <v>71</v>
      </c>
      <c r="F119" s="30" t="s">
        <v>16</v>
      </c>
      <c r="G119" s="30" t="s">
        <v>15</v>
      </c>
      <c r="H119" s="30" t="n">
        <f aca="false">IF(COUNTIFS($A$2:A119,A119,$B$2:B119,B119,$E$2:E119,E119)=1,1,0)</f>
        <v>0</v>
      </c>
      <c r="I119" s="30" t="n">
        <f aca="false">IF(COUNTIFS($A$2:A119,A119,$E$2:E119,E119)=1,1,0)</f>
        <v>0</v>
      </c>
      <c r="J119" s="30" t="n">
        <f aca="false">IF(COUNTIFS($B$2:B119,B119)=1,1,0)</f>
        <v>0</v>
      </c>
    </row>
    <row r="120" customFormat="false" ht="15" hidden="false" customHeight="false" outlineLevel="0" collapsed="false">
      <c r="A120" s="29" t="n">
        <v>46248</v>
      </c>
      <c r="B120" s="30" t="s">
        <v>52</v>
      </c>
      <c r="C120" s="30" t="s">
        <v>53</v>
      </c>
      <c r="D120" s="0" t="n">
        <v>0.083</v>
      </c>
      <c r="E120" s="30" t="s">
        <v>71</v>
      </c>
      <c r="F120" s="30" t="s">
        <v>16</v>
      </c>
      <c r="G120" s="30" t="s">
        <v>15</v>
      </c>
      <c r="H120" s="30" t="n">
        <f aca="false">IF(COUNTIFS($A$2:A120,A120,$B$2:B120,B120,$E$2:E120,E120)=1,1,0)</f>
        <v>0</v>
      </c>
      <c r="I120" s="30" t="n">
        <f aca="false">IF(COUNTIFS($A$2:A120,A120,$E$2:E120,E120)=1,1,0)</f>
        <v>0</v>
      </c>
      <c r="J120" s="30" t="n">
        <f aca="false">IF(COUNTIFS($B$2:B120,B120)=1,1,0)</f>
        <v>0</v>
      </c>
    </row>
    <row r="121" customFormat="false" ht="15" hidden="false" customHeight="false" outlineLevel="0" collapsed="false">
      <c r="A121" s="29" t="n">
        <v>46248</v>
      </c>
      <c r="B121" s="30" t="s">
        <v>19</v>
      </c>
      <c r="C121" s="30" t="s">
        <v>20</v>
      </c>
      <c r="D121" s="0" t="n">
        <v>3.5</v>
      </c>
      <c r="E121" s="30" t="s">
        <v>71</v>
      </c>
      <c r="F121" s="30" t="s">
        <v>21</v>
      </c>
      <c r="G121" s="30" t="s">
        <v>11</v>
      </c>
      <c r="H121" s="30" t="n">
        <f aca="false">IF(COUNTIFS($A$2:A121,A121,$B$2:B121,B121,$E$2:E121,E121)=1,1,0)</f>
        <v>1</v>
      </c>
      <c r="I121" s="30" t="n">
        <f aca="false">IF(COUNTIFS($A$2:A121,A121,$E$2:E121,E121)=1,1,0)</f>
        <v>0</v>
      </c>
      <c r="J121" s="30" t="n">
        <f aca="false">IF(COUNTIFS($B$2:B121,B121)=1,1,0)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</cols>
  <sheetData>
    <row r="1" customFormat="false" ht="15" hidden="false" customHeight="false" outlineLevel="0" collapsed="false">
      <c r="A1" s="31" t="s">
        <v>99</v>
      </c>
    </row>
    <row r="2" customFormat="false" ht="15" hidden="false" customHeight="false" outlineLevel="0" collapsed="false">
      <c r="A2" s="32" t="s">
        <v>90</v>
      </c>
      <c r="B2" s="32" t="s">
        <v>100</v>
      </c>
    </row>
    <row r="3" customFormat="false" ht="15" hidden="false" customHeight="false" outlineLevel="0" collapsed="false">
      <c r="A3" s="0" t="s">
        <v>71</v>
      </c>
      <c r="B3" s="0" t="s">
        <v>101</v>
      </c>
    </row>
    <row r="4" customFormat="false" ht="15" hidden="false" customHeight="false" outlineLevel="0" collapsed="false">
      <c r="A4" s="0" t="s">
        <v>73</v>
      </c>
      <c r="B4" s="0" t="s">
        <v>102</v>
      </c>
    </row>
    <row r="5" customFormat="false" ht="15" hidden="false" customHeight="false" outlineLevel="0" collapsed="false">
      <c r="A5" s="0" t="s">
        <v>75</v>
      </c>
      <c r="B5" s="0" t="s">
        <v>103</v>
      </c>
    </row>
    <row r="6" customFormat="false" ht="15" hidden="false" customHeight="false" outlineLevel="0" collapsed="false">
      <c r="A6" s="0" t="s">
        <v>77</v>
      </c>
      <c r="B6" s="0" t="s">
        <v>104</v>
      </c>
    </row>
    <row r="7" customFormat="false" ht="15" hidden="false" customHeight="false" outlineLevel="0" collapsed="false">
      <c r="A7" s="0" t="s">
        <v>79</v>
      </c>
      <c r="B7" s="0" t="s">
        <v>105</v>
      </c>
    </row>
    <row r="8" customFormat="false" ht="15" hidden="false" customHeight="false" outlineLevel="0" collapsed="false">
      <c r="A8" s="0" t="s">
        <v>80</v>
      </c>
      <c r="B8" s="0" t="s">
        <v>106</v>
      </c>
    </row>
    <row r="9" customFormat="false" ht="15" hidden="false" customHeight="false" outlineLevel="0" collapsed="false">
      <c r="A9" s="0" t="s">
        <v>81</v>
      </c>
      <c r="B9" s="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2026-08-20T09:31:30Z</dcterms:created>
  <dc:creator>openpyxl</dc:creator>
  <dc:description/>
  <dc:language>en-US</dc:language>
  <cp:lastModifiedBy/>
  <dcterms:modified xsi:type="dcterms:W3CDTF">2026-08-20T09:32:17Z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