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apgemini-my.sharepoint.com/personal/dakshata_shinde_capgemini_com/Documents/Documents/"/>
    </mc:Choice>
  </mc:AlternateContent>
  <xr:revisionPtr revIDLastSave="11094" documentId="8_{36F5FACD-99BD-42EB-8A27-04A105E95A0F}" xr6:coauthVersionLast="47" xr6:coauthVersionMax="47" xr10:uidLastSave="{E20A8D36-5D76-49E4-AFBF-1E444FE3A2D7}"/>
  <bookViews>
    <workbookView xWindow="-108" yWindow="-108" windowWidth="23256" windowHeight="12456" activeTab="6" xr2:uid="{B0610701-A308-4902-87BF-9AAC85E6F126}"/>
  </bookViews>
  <sheets>
    <sheet name="Sheet1" sheetId="1" r:id="rId1"/>
    <sheet name="AuthorRoster" sheetId="2" state="veryHidden" r:id="rId2"/>
    <sheet name="Data" sheetId="3" r:id="rId3"/>
    <sheet name="Weekly Report" sheetId="4" r:id="rId4"/>
    <sheet name="Tickets Created This Week" sheetId="5" r:id="rId5"/>
    <sheet name="Author Summary" sheetId="6" r:id="rId6"/>
    <sheet name="Dashboard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1" i="7" l="1"/>
  <c r="E10" i="7"/>
  <c r="E9" i="7"/>
  <c r="E8" i="7"/>
  <c r="E7" i="7"/>
  <c r="E6" i="7"/>
  <c r="E5" i="7"/>
  <c r="B8" i="7"/>
  <c r="B7" i="7"/>
  <c r="B6" i="7"/>
  <c r="B5" i="7"/>
  <c r="F11" i="6"/>
  <c r="E11" i="6"/>
  <c r="D11" i="6"/>
  <c r="C11" i="6"/>
  <c r="B11" i="6"/>
  <c r="F10" i="6"/>
  <c r="E10" i="6"/>
  <c r="D10" i="6"/>
  <c r="C10" i="6"/>
  <c r="B10" i="6"/>
  <c r="F9" i="6"/>
  <c r="E9" i="6"/>
  <c r="D9" i="6"/>
  <c r="C9" i="6"/>
  <c r="B9" i="6"/>
  <c r="F8" i="6"/>
  <c r="E8" i="6"/>
  <c r="D8" i="6"/>
  <c r="C8" i="6"/>
  <c r="B8" i="6"/>
  <c r="F7" i="6"/>
  <c r="E7" i="6"/>
  <c r="D7" i="6"/>
  <c r="C7" i="6"/>
  <c r="B7" i="6"/>
  <c r="F6" i="6"/>
  <c r="E6" i="6"/>
  <c r="D6" i="6"/>
  <c r="C6" i="6"/>
  <c r="B6" i="6"/>
  <c r="F5" i="6"/>
  <c r="E5" i="6"/>
  <c r="D5" i="6"/>
  <c r="C5" i="6"/>
  <c r="B5" i="6"/>
  <c r="F4" i="6"/>
  <c r="E4" i="6"/>
  <c r="D4" i="6"/>
  <c r="C4" i="6"/>
  <c r="B4" i="6"/>
  <c r="E62" i="4"/>
  <c r="E59" i="4"/>
  <c r="D56" i="4"/>
  <c r="A56" i="4"/>
  <c r="D55" i="4"/>
  <c r="C55" i="4"/>
  <c r="D54" i="4"/>
  <c r="C54" i="4"/>
  <c r="D53" i="4"/>
  <c r="C53" i="4"/>
  <c r="D52" i="4"/>
  <c r="C52" i="4"/>
  <c r="D51" i="4"/>
  <c r="C51" i="4"/>
  <c r="D50" i="4"/>
  <c r="C50" i="4"/>
  <c r="D46" i="4"/>
  <c r="A46" i="4"/>
  <c r="D45" i="4"/>
  <c r="C45" i="4"/>
  <c r="D44" i="4"/>
  <c r="C44" i="4"/>
  <c r="D43" i="4"/>
  <c r="C43" i="4"/>
  <c r="D42" i="4"/>
  <c r="C42" i="4"/>
  <c r="D41" i="4"/>
  <c r="C41" i="4"/>
  <c r="D40" i="4"/>
  <c r="C40" i="4"/>
  <c r="D39" i="4"/>
  <c r="C39" i="4"/>
  <c r="D38" i="4"/>
  <c r="C38" i="4"/>
  <c r="D37" i="4"/>
  <c r="C37" i="4"/>
  <c r="D36" i="4"/>
  <c r="C36" i="4"/>
  <c r="D35" i="4"/>
  <c r="C35" i="4"/>
  <c r="D31" i="4"/>
  <c r="A31" i="4"/>
  <c r="D30" i="4"/>
  <c r="C30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D19" i="4"/>
  <c r="A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D6" i="4"/>
  <c r="C6" i="4"/>
  <c r="J93" i="3"/>
  <c r="I93" i="3"/>
  <c r="H93" i="3"/>
  <c r="J92" i="3"/>
  <c r="I92" i="3"/>
  <c r="H92" i="3"/>
  <c r="J91" i="3"/>
  <c r="I91" i="3"/>
  <c r="H91" i="3"/>
  <c r="J90" i="3"/>
  <c r="I90" i="3"/>
  <c r="H90" i="3"/>
  <c r="J89" i="3"/>
  <c r="I89" i="3"/>
  <c r="H89" i="3"/>
  <c r="J88" i="3"/>
  <c r="I88" i="3"/>
  <c r="H88" i="3"/>
  <c r="J87" i="3"/>
  <c r="I87" i="3"/>
  <c r="H87" i="3"/>
  <c r="J86" i="3"/>
  <c r="I86" i="3"/>
  <c r="H86" i="3"/>
  <c r="J85" i="3"/>
  <c r="I85" i="3"/>
  <c r="H85" i="3"/>
  <c r="J84" i="3"/>
  <c r="I84" i="3"/>
  <c r="H84" i="3"/>
  <c r="J83" i="3"/>
  <c r="I83" i="3"/>
  <c r="H83" i="3"/>
  <c r="J82" i="3"/>
  <c r="I82" i="3"/>
  <c r="H82" i="3"/>
  <c r="J81" i="3"/>
  <c r="I81" i="3"/>
  <c r="H81" i="3"/>
  <c r="J80" i="3"/>
  <c r="I80" i="3"/>
  <c r="H80" i="3"/>
  <c r="J79" i="3"/>
  <c r="I79" i="3"/>
  <c r="H79" i="3"/>
  <c r="J78" i="3"/>
  <c r="I78" i="3"/>
  <c r="H78" i="3"/>
  <c r="J77" i="3"/>
  <c r="I77" i="3"/>
  <c r="H77" i="3"/>
  <c r="J76" i="3"/>
  <c r="I76" i="3"/>
  <c r="H76" i="3"/>
  <c r="J75" i="3"/>
  <c r="I75" i="3"/>
  <c r="H75" i="3"/>
  <c r="J74" i="3"/>
  <c r="I74" i="3"/>
  <c r="H74" i="3"/>
  <c r="J73" i="3"/>
  <c r="I73" i="3"/>
  <c r="H73" i="3"/>
  <c r="J72" i="3"/>
  <c r="I72" i="3"/>
  <c r="H72" i="3"/>
  <c r="J71" i="3"/>
  <c r="I71" i="3"/>
  <c r="H71" i="3"/>
  <c r="J70" i="3"/>
  <c r="I70" i="3"/>
  <c r="H70" i="3"/>
  <c r="J69" i="3"/>
  <c r="I69" i="3"/>
  <c r="H69" i="3"/>
  <c r="J68" i="3"/>
  <c r="I68" i="3"/>
  <c r="H68" i="3"/>
  <c r="J67" i="3"/>
  <c r="I67" i="3"/>
  <c r="H67" i="3"/>
  <c r="J66" i="3"/>
  <c r="I66" i="3"/>
  <c r="H66" i="3"/>
  <c r="J65" i="3"/>
  <c r="I65" i="3"/>
  <c r="H65" i="3"/>
  <c r="J64" i="3"/>
  <c r="I64" i="3"/>
  <c r="H64" i="3"/>
  <c r="J63" i="3"/>
  <c r="I63" i="3"/>
  <c r="H63" i="3"/>
  <c r="J62" i="3"/>
  <c r="I62" i="3"/>
  <c r="H62" i="3"/>
  <c r="J61" i="3"/>
  <c r="I61" i="3"/>
  <c r="H61" i="3"/>
  <c r="J60" i="3"/>
  <c r="I60" i="3"/>
  <c r="H60" i="3"/>
  <c r="J59" i="3"/>
  <c r="I59" i="3"/>
  <c r="H59" i="3"/>
  <c r="J58" i="3"/>
  <c r="I58" i="3"/>
  <c r="H58" i="3"/>
  <c r="J57" i="3"/>
  <c r="I57" i="3"/>
  <c r="H57" i="3"/>
  <c r="J56" i="3"/>
  <c r="I56" i="3"/>
  <c r="H56" i="3"/>
  <c r="J55" i="3"/>
  <c r="I55" i="3"/>
  <c r="H55" i="3"/>
  <c r="J54" i="3"/>
  <c r="I54" i="3"/>
  <c r="H54" i="3"/>
  <c r="J53" i="3"/>
  <c r="I53" i="3"/>
  <c r="H53" i="3"/>
  <c r="J52" i="3"/>
  <c r="I52" i="3"/>
  <c r="H52" i="3"/>
  <c r="J51" i="3"/>
  <c r="I51" i="3"/>
  <c r="H51" i="3"/>
  <c r="J50" i="3"/>
  <c r="I50" i="3"/>
  <c r="H50" i="3"/>
  <c r="J49" i="3"/>
  <c r="I49" i="3"/>
  <c r="H49" i="3"/>
  <c r="J48" i="3"/>
  <c r="I48" i="3"/>
  <c r="H48" i="3"/>
  <c r="J47" i="3"/>
  <c r="I47" i="3"/>
  <c r="H47" i="3"/>
  <c r="J46" i="3"/>
  <c r="I46" i="3"/>
  <c r="H46" i="3"/>
  <c r="J45" i="3"/>
  <c r="I45" i="3"/>
  <c r="H45" i="3"/>
  <c r="J44" i="3"/>
  <c r="I44" i="3"/>
  <c r="H44" i="3"/>
  <c r="J43" i="3"/>
  <c r="I43" i="3"/>
  <c r="H43" i="3"/>
  <c r="J42" i="3"/>
  <c r="I42" i="3"/>
  <c r="H42" i="3"/>
  <c r="J41" i="3"/>
  <c r="I41" i="3"/>
  <c r="H41" i="3"/>
  <c r="J40" i="3"/>
  <c r="I40" i="3"/>
  <c r="H40" i="3"/>
  <c r="J39" i="3"/>
  <c r="I39" i="3"/>
  <c r="H39" i="3"/>
  <c r="J38" i="3"/>
  <c r="I38" i="3"/>
  <c r="H38" i="3"/>
  <c r="J37" i="3"/>
  <c r="I37" i="3"/>
  <c r="H37" i="3"/>
  <c r="J36" i="3"/>
  <c r="I36" i="3"/>
  <c r="H36" i="3"/>
  <c r="J35" i="3"/>
  <c r="I35" i="3"/>
  <c r="H35" i="3"/>
  <c r="J34" i="3"/>
  <c r="I34" i="3"/>
  <c r="H34" i="3"/>
  <c r="J33" i="3"/>
  <c r="I33" i="3"/>
  <c r="H33" i="3"/>
  <c r="J32" i="3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H23" i="3"/>
  <c r="J22" i="3"/>
  <c r="I22" i="3"/>
  <c r="H22" i="3"/>
  <c r="J21" i="3"/>
  <c r="I21" i="3"/>
  <c r="H21" i="3"/>
  <c r="J20" i="3"/>
  <c r="I20" i="3"/>
  <c r="H20" i="3"/>
  <c r="J19" i="3"/>
  <c r="I19" i="3"/>
  <c r="H19" i="3"/>
  <c r="J18" i="3"/>
  <c r="I18" i="3"/>
  <c r="H18" i="3"/>
  <c r="J17" i="3"/>
  <c r="I17" i="3"/>
  <c r="H17" i="3"/>
  <c r="J16" i="3"/>
  <c r="I16" i="3"/>
  <c r="H16" i="3"/>
  <c r="J15" i="3"/>
  <c r="I15" i="3"/>
  <c r="H15" i="3"/>
  <c r="J14" i="3"/>
  <c r="I14" i="3"/>
  <c r="H14" i="3"/>
  <c r="J13" i="3"/>
  <c r="I13" i="3"/>
  <c r="H13" i="3"/>
  <c r="J12" i="3"/>
  <c r="I12" i="3"/>
  <c r="H12" i="3"/>
  <c r="J11" i="3"/>
  <c r="I11" i="3"/>
  <c r="H11" i="3"/>
  <c r="J10" i="3"/>
  <c r="I10" i="3"/>
  <c r="H10" i="3"/>
  <c r="J9" i="3"/>
  <c r="I9" i="3"/>
  <c r="H9" i="3"/>
  <c r="J8" i="3"/>
  <c r="I8" i="3"/>
  <c r="H8" i="3"/>
  <c r="J7" i="3"/>
  <c r="I7" i="3"/>
  <c r="H7" i="3"/>
  <c r="J6" i="3"/>
  <c r="I6" i="3"/>
  <c r="H6" i="3"/>
  <c r="J5" i="3"/>
  <c r="I5" i="3"/>
  <c r="H5" i="3"/>
  <c r="J4" i="3"/>
  <c r="I4" i="3"/>
  <c r="H4" i="3"/>
  <c r="J3" i="3"/>
  <c r="I3" i="3"/>
  <c r="H3" i="3"/>
  <c r="J2" i="3"/>
  <c r="I2" i="3"/>
  <c r="H2" i="3"/>
</calcChain>
</file>

<file path=xl/sharedStrings.xml><?xml version="1.0" encoding="utf-8"?>
<sst xmlns="http://schemas.openxmlformats.org/spreadsheetml/2006/main" count="731" uniqueCount="98">
  <si>
    <t>RealName</t>
  </si>
  <si>
    <t>Daundkar, Mukul External</t>
  </si>
  <si>
    <t>Shinde, Sayali External</t>
  </si>
  <si>
    <t>Joshi, Chaitanya External</t>
  </si>
  <si>
    <t>Yamanollu, Anjaneyulu External</t>
  </si>
  <si>
    <t>Kale, Sonali External</t>
  </si>
  <si>
    <t>Shirvatkar, Yadnesh External</t>
  </si>
  <si>
    <t>Shinde, Dakshata External</t>
  </si>
  <si>
    <t>Date</t>
  </si>
  <si>
    <t>Ticket Key</t>
  </si>
  <si>
    <t>Summary</t>
  </si>
  <si>
    <t>Hours</t>
  </si>
  <si>
    <t>Author</t>
  </si>
  <si>
    <t>Status</t>
  </si>
  <si>
    <t>Priority</t>
  </si>
  <si>
    <t>FirstAuthorTicketDay</t>
  </si>
  <si>
    <t>FirstAuthorDay</t>
  </si>
  <si>
    <t>FirstTicketWeek</t>
  </si>
  <si>
    <t>Ticket Created Date</t>
  </si>
  <si>
    <t>Medium</t>
  </si>
  <si>
    <t>DONE</t>
  </si>
  <si>
    <t>Low</t>
  </si>
  <si>
    <t>CWL-2464</t>
  </si>
  <si>
    <t>Move Phonak Hearing Stories to new Blog Component</t>
  </si>
  <si>
    <t>IN PROGRESS</t>
  </si>
  <si>
    <t>CWL-2910</t>
  </si>
  <si>
    <t>Updating customer information on the Unitron website</t>
  </si>
  <si>
    <t>WAITING FOR APPROVAL (MIGRATED)</t>
  </si>
  <si>
    <t>CWL-2943</t>
  </si>
  <si>
    <t>HT_Website_Software Update Download Center 5.10.1</t>
  </si>
  <si>
    <t>CWL-2942</t>
  </si>
  <si>
    <t>HT_Website_Download Center Spain</t>
  </si>
  <si>
    <t>CWL-2949</t>
  </si>
  <si>
    <t>EON education series landing page</t>
  </si>
  <si>
    <t>CWL-2946</t>
  </si>
  <si>
    <t>Contact Us page update</t>
  </si>
  <si>
    <t>CWL-2947</t>
  </si>
  <si>
    <t>Address update on Unitron BR Website</t>
  </si>
  <si>
    <t>CWL-2948</t>
  </si>
  <si>
    <t>Address update on Phonak BR Website</t>
  </si>
  <si>
    <t>CWL-2952</t>
  </si>
  <si>
    <t>Link three YouTube videos to the Meet Unitron page</t>
  </si>
  <si>
    <t>CWL-2938</t>
  </si>
  <si>
    <t>Please upload updated MDR DoC documents to the Phonak Certificates page  and removed the older documents</t>
  </si>
  <si>
    <t>CWL-2953</t>
  </si>
  <si>
    <t>Changes on the Easy Line Pro App page</t>
  </si>
  <si>
    <t>CWL-2954</t>
  </si>
  <si>
    <t>(cwl)Upload new Easy Line Pro V1.2 user guide onto the Easy Line Pro website</t>
  </si>
  <si>
    <t>CWL-2956</t>
  </si>
  <si>
    <t>Ad hoc: September</t>
  </si>
  <si>
    <t>CWL-2955</t>
  </si>
  <si>
    <t>Update of Support Banner Into Content Fragment</t>
  </si>
  <si>
    <t>CWL-2885</t>
  </si>
  <si>
    <t>Update file related to tender</t>
  </si>
  <si>
    <t>APPROVED FOR ACTIVATION</t>
  </si>
  <si>
    <t>CWL-2958</t>
  </si>
  <si>
    <t>Localization PH s3 - DE</t>
  </si>
  <si>
    <t>CWL-2959</t>
  </si>
  <si>
    <t>(cwl)Estore on NO web</t>
  </si>
  <si>
    <t>CWL-2926</t>
  </si>
  <si>
    <t>Brazil Hansaton Website Update - User Guides</t>
  </si>
  <si>
    <t>CWL-2957</t>
  </si>
  <si>
    <t>Localization PH s3 - lang master FR and France</t>
  </si>
  <si>
    <t>CWL-2961</t>
  </si>
  <si>
    <t>PhonakJP_NewContents_FSN</t>
  </si>
  <si>
    <t>CWL-2960</t>
  </si>
  <si>
    <t>Local sales support representative page</t>
  </si>
  <si>
    <t>Weekly Team Activity Report</t>
  </si>
  <si>
    <t>Authors on Ticket</t>
  </si>
  <si>
    <t>Hours Logged</t>
  </si>
  <si>
    <t>Tuesday, 2026-09-01    |    Team Availability: 7/7    |    New Tickets Created: 1</t>
  </si>
  <si>
    <t>Friday, 2026-09-04    |    Team Availability: 7/7    |    New Tickets Created: 0</t>
  </si>
  <si>
    <t>Week Summary</t>
  </si>
  <si>
    <t>Total Distinct Tickets Worked On This Week</t>
  </si>
  <si>
    <t>Total New Tickets Created This Week</t>
  </si>
  <si>
    <t>Total Hours Logged This Week</t>
  </si>
  <si>
    <t>Team Size (Total Available Authors)</t>
  </si>
  <si>
    <t>Legend:</t>
  </si>
  <si>
    <t xml:space="preserve">  </t>
  </si>
  <si>
    <t>Ticket newly created and worked on the same day</t>
  </si>
  <si>
    <t>New Tickets Created This Week</t>
  </si>
  <si>
    <t>Date Created</t>
  </si>
  <si>
    <t>Done</t>
  </si>
  <si>
    <t>Waiting For Approval (migrated)</t>
  </si>
  <si>
    <t>In Progress</t>
  </si>
  <si>
    <t>Total Tickets Created</t>
  </si>
  <si>
    <t>Author Summary</t>
  </si>
  <si>
    <t>Total Hours Logged</t>
  </si>
  <si>
    <t>Team Total</t>
  </si>
  <si>
    <t>Weekly Report - Visual Summary</t>
  </si>
  <si>
    <t>Hours Logged Per Day</t>
  </si>
  <si>
    <t>Hours Logged Per Author</t>
  </si>
  <si>
    <t>Tickets By Priority</t>
  </si>
  <si>
    <t>Count</t>
  </si>
  <si>
    <t>Wednesday, 2026-09-02    |    Team Availability: 6/7    |    New Tickets Created: 3</t>
  </si>
  <si>
    <t>Thursday, 2026-09-03    |    Team Availability: 7/7    |    New Tickets Created: 2</t>
  </si>
  <si>
    <t>Completed Tickets (Done + Waiting For Approval)</t>
  </si>
  <si>
    <t>Week of 2026-09-01 to 2026-09-04  |  Weekends excluded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</si>
</sst>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8" x14ac:knownFonts="1">
    <font>
      <sz val="11"/>
      <color theme="1"/>
      <name val="Aptos Narrow"/>
      <family val="2"/>
      <scheme val="minor"/>
    </font>
    <font>
      <b/>
      <sz val="16"/>
      <color rgb="FFFFFFFF"/>
      <name val="Arial"/>
      <family val="2"/>
    </font>
    <font>
      <i/>
      <sz val="10"/>
      <color rgb="FF595959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0"/>
      <color rgb="FF1F4E7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E6F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6" fillId="4" borderId="0" xfId="0" applyFont="1" applyFill="1"/>
    <xf numFmtId="0" fontId="7" fillId="5" borderId="0" xfId="0" applyFont="1" applyFill="1"/>
    <xf numFmtId="0" fontId="0" fillId="6" borderId="0" xfId="0" applyFill="1"/>
    <xf numFmtId="0" fontId="3" fillId="0" borderId="0" xfId="0" applyFont="1"/>
    <xf numFmtId="14" fontId="6" fillId="4" borderId="0" xfId="0" applyNumberFormat="1" applyFont="1" applyFill="1"/>
    <xf numFmtId="0" fontId="1" fillId="2" borderId="0" xfId="0" applyFont="1" applyFill="1"/>
    <xf numFmtId="0" fontId="0" fillId="0" borderId="0" xfId="0"/>
    <xf numFmtId="0" fontId="7" fillId="5" borderId="0" xfId="0" applyFont="1" applyFill="1"/>
    <xf numFmtId="0" fontId="2" fillId="0" borderId="0" xfId="0" applyFont="1"/>
    <xf numFmtId="0" fontId="4" fillId="3" borderId="0" xfId="0" applyFont="1" applyFill="1"/>
    <xf numFmtId="0" fontId="5" fillId="7" borderId="0" xfId="0" applyFont="1" applyFill="1"/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Logged Per Day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Hours</c:v>
                </c:pt>
              </c:strCache>
            </c:strRef>
          </c:tx>
          <c:invertIfNegative val="0"/>
          <c:cat>
            <c:numRef>
              <c:f>Dashboard!$A$5:$A$8</c:f>
              <c:numCache>
                <c:formatCode>m/d/yyyy</c:formatCode>
                <c:ptCount val="4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</c:numCache>
            </c:numRef>
          </c:cat>
          <c:val>
            <c:numRef>
              <c:f>Dashboard!$B$5:$B$8</c:f>
              <c:numCache>
                <c:formatCode>General</c:formatCode>
                <c:ptCount val="4"/>
                <c:pt idx="0">
                  <c:v>43.58</c:v>
                </c:pt>
                <c:pt idx="1">
                  <c:v>39.229999999999997</c:v>
                </c:pt>
                <c:pt idx="2">
                  <c:v>53.13</c:v>
                </c:pt>
                <c:pt idx="3">
                  <c:v>49.93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6A-48C3-A34F-CAFCABAF5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2262144"/>
        <c:axId val="1568154288"/>
      </c:barChart>
      <c:dateAx>
        <c:axId val="1632262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68154288"/>
        <c:crosses val="autoZero"/>
        <c:auto val="1"/>
        <c:lblOffset val="100"/>
        <c:baseTimeUnit val="days"/>
      </c:dateAx>
      <c:valAx>
        <c:axId val="156815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2262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Hours Logged Per Author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Dashboard!$E$4</c:f>
              <c:strCache>
                <c:ptCount val="1"/>
                <c:pt idx="0">
                  <c:v>Hours</c:v>
                </c:pt>
              </c:strCache>
            </c:strRef>
          </c:tx>
          <c:invertIfNegative val="0"/>
          <c:cat>
            <c:strRef>
              <c:f>Dashboard!$D$5:$D$11</c:f>
              <c:strCache>
                <c:ptCount val="7"/>
                <c:pt idx="0">
                  <c:v>Daundkar, Mukul External</c:v>
                </c:pt>
                <c:pt idx="1">
                  <c:v>Joshi, Chaitanya External</c:v>
                </c:pt>
                <c:pt idx="2">
                  <c:v>Kale, Sonali External</c:v>
                </c:pt>
                <c:pt idx="3">
                  <c:v>Shinde, Dakshata External</c:v>
                </c:pt>
                <c:pt idx="4">
                  <c:v>Shinde, Sayali External</c:v>
                </c:pt>
                <c:pt idx="5">
                  <c:v>Shirvatkar, Yadnesh External</c:v>
                </c:pt>
                <c:pt idx="6">
                  <c:v>Yamanollu, Anjaneyulu External</c:v>
                </c:pt>
              </c:strCache>
            </c:strRef>
          </c:cat>
          <c:val>
            <c:numRef>
              <c:f>Dashboard!$E$5:$E$11</c:f>
              <c:numCache>
                <c:formatCode>General</c:formatCode>
                <c:ptCount val="7"/>
                <c:pt idx="0">
                  <c:v>27</c:v>
                </c:pt>
                <c:pt idx="1">
                  <c:v>27.75</c:v>
                </c:pt>
                <c:pt idx="2">
                  <c:v>28.67</c:v>
                </c:pt>
                <c:pt idx="3">
                  <c:v>29.63</c:v>
                </c:pt>
                <c:pt idx="4">
                  <c:v>26.17</c:v>
                </c:pt>
                <c:pt idx="5">
                  <c:v>26</c:v>
                </c:pt>
                <c:pt idx="6">
                  <c:v>20.67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6-4914-94FD-E2612B7C1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2295552"/>
        <c:axId val="1568105808"/>
      </c:barChart>
      <c:catAx>
        <c:axId val="163229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8105808"/>
        <c:crosses val="autoZero"/>
        <c:auto val="1"/>
        <c:lblAlgn val="ctr"/>
        <c:lblOffset val="100"/>
        <c:noMultiLvlLbl val="0"/>
      </c:catAx>
      <c:valAx>
        <c:axId val="156810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2295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16</xdr:col>
      <xdr:colOff>177800</xdr:colOff>
      <xdr:row>17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1EEB35-8D94-6615-3555-438B755976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177800</xdr:colOff>
      <xdr:row>34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9A2369-4D23-C2B9-4A58-2788098E6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71B27-376D-4126-80AC-20C4FF872A16}">
  <sheetPr codeName="Sheet1"/>
  <dimension ref="A1"/>
  <sheetViews>
    <sheetView workbookViewId="0">
      <selection activeCell="D7" sqref="D7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8DE74-5CD0-4B5D-ADA7-D80DAF043442}">
  <sheetPr codeName="Sheet2"/>
  <dimension ref="A1:A8"/>
  <sheetViews>
    <sheetView workbookViewId="0"/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DCB6D-F89C-4C54-ABB3-3BB19B267D63}">
  <sheetPr codeName="Sheet3"/>
  <dimension ref="A1:K93"/>
  <sheetViews>
    <sheetView topLeftCell="A28"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91.21875" bestFit="1" customWidth="1"/>
    <col min="4" max="4" width="6" bestFit="1" customWidth="1"/>
    <col min="5" max="5" width="26.33203125" bestFit="1" customWidth="1"/>
    <col min="6" max="6" width="31.77734375" bestFit="1" customWidth="1"/>
    <col min="7" max="7" width="7.44140625" bestFit="1" customWidth="1"/>
    <col min="8" max="8" width="17.88671875" bestFit="1" customWidth="1"/>
    <col min="9" max="9" width="12.88671875" bestFit="1" customWidth="1"/>
    <col min="10" max="10" width="14" bestFit="1" customWidth="1"/>
    <col min="11" max="11" width="16.77734375" bestFit="1" customWidth="1"/>
  </cols>
  <sheetData>
    <row r="1" spans="1:11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3">
      <c r="A2" s="2">
        <v>46266</v>
      </c>
      <c r="B2" t="s">
        <v>48</v>
      </c>
      <c r="C2" t="s">
        <v>49</v>
      </c>
      <c r="D2">
        <v>1</v>
      </c>
      <c r="E2" t="s">
        <v>1</v>
      </c>
      <c r="F2" t="s">
        <v>24</v>
      </c>
      <c r="G2" t="s">
        <v>19</v>
      </c>
      <c r="H2">
        <f>IF(COUNTIFS($A$2:A2,A2,$B$2:B2,B2,$E$2:E2,E2)=1,1,0)</f>
        <v>1</v>
      </c>
      <c r="I2">
        <f>IF(COUNTIFS($A$2:A2,A2,$E$2:E2,E2)=1,1,0)</f>
        <v>1</v>
      </c>
      <c r="J2">
        <f>IF(COUNTIFS($B$2:B2,B2)=1,1,0)</f>
        <v>1</v>
      </c>
      <c r="K2" s="2">
        <v>46266</v>
      </c>
    </row>
    <row r="3" spans="1:11" x14ac:dyDescent="0.3">
      <c r="A3" s="2">
        <v>46266</v>
      </c>
      <c r="B3" t="s">
        <v>48</v>
      </c>
      <c r="C3" t="s">
        <v>49</v>
      </c>
      <c r="D3">
        <v>1</v>
      </c>
      <c r="E3" t="s">
        <v>2</v>
      </c>
      <c r="F3" t="s">
        <v>24</v>
      </c>
      <c r="G3" t="s">
        <v>19</v>
      </c>
      <c r="H3">
        <f>IF(COUNTIFS($A$2:A3,A3,$B$2:B3,B3,$E$2:E3,E3)=1,1,0)</f>
        <v>1</v>
      </c>
      <c r="I3">
        <f>IF(COUNTIFS($A$2:A3,A3,$E$2:E3,E3)=1,1,0)</f>
        <v>1</v>
      </c>
      <c r="J3">
        <f>IF(COUNTIFS($B$2:B3,B3)=1,1,0)</f>
        <v>0</v>
      </c>
      <c r="K3" s="2">
        <v>46266</v>
      </c>
    </row>
    <row r="4" spans="1:11" x14ac:dyDescent="0.3">
      <c r="A4" s="2">
        <v>46266</v>
      </c>
      <c r="B4" t="s">
        <v>48</v>
      </c>
      <c r="C4" t="s">
        <v>49</v>
      </c>
      <c r="D4">
        <v>1</v>
      </c>
      <c r="E4" t="s">
        <v>3</v>
      </c>
      <c r="F4" t="s">
        <v>24</v>
      </c>
      <c r="G4" t="s">
        <v>19</v>
      </c>
      <c r="H4">
        <f>IF(COUNTIFS($A$2:A4,A4,$B$2:B4,B4,$E$2:E4,E4)=1,1,0)</f>
        <v>1</v>
      </c>
      <c r="I4">
        <f>IF(COUNTIFS($A$2:A4,A4,$E$2:E4,E4)=1,1,0)</f>
        <v>1</v>
      </c>
      <c r="J4">
        <f>IF(COUNTIFS($B$2:B4,B4)=1,1,0)</f>
        <v>0</v>
      </c>
      <c r="K4" s="2">
        <v>46266</v>
      </c>
    </row>
    <row r="5" spans="1:11" x14ac:dyDescent="0.3">
      <c r="A5" s="2">
        <v>46266</v>
      </c>
      <c r="B5" t="s">
        <v>40</v>
      </c>
      <c r="C5" t="s">
        <v>41</v>
      </c>
      <c r="D5">
        <v>0.25</v>
      </c>
      <c r="E5" t="s">
        <v>4</v>
      </c>
      <c r="F5" t="s">
        <v>27</v>
      </c>
      <c r="G5" t="s">
        <v>19</v>
      </c>
      <c r="H5">
        <f>IF(COUNTIFS($A$2:A5,A5,$B$2:B5,B5,$E$2:E5,E5)=1,1,0)</f>
        <v>1</v>
      </c>
      <c r="I5">
        <f>IF(COUNTIFS($A$2:A5,A5,$E$2:E5,E5)=1,1,0)</f>
        <v>1</v>
      </c>
      <c r="J5">
        <f>IF(COUNTIFS($B$2:B5,B5)=1,1,0)</f>
        <v>1</v>
      </c>
    </row>
    <row r="6" spans="1:11" x14ac:dyDescent="0.3">
      <c r="A6" s="2">
        <v>46266</v>
      </c>
      <c r="B6" t="s">
        <v>48</v>
      </c>
      <c r="C6" t="s">
        <v>49</v>
      </c>
      <c r="D6">
        <v>1</v>
      </c>
      <c r="E6" t="s">
        <v>5</v>
      </c>
      <c r="F6" t="s">
        <v>24</v>
      </c>
      <c r="G6" t="s">
        <v>19</v>
      </c>
      <c r="H6">
        <f>IF(COUNTIFS($A$2:A6,A6,$B$2:B6,B6,$E$2:E6,E6)=1,1,0)</f>
        <v>1</v>
      </c>
      <c r="I6">
        <f>IF(COUNTIFS($A$2:A6,A6,$E$2:E6,E6)=1,1,0)</f>
        <v>1</v>
      </c>
      <c r="J6">
        <f>IF(COUNTIFS($B$2:B6,B6)=1,1,0)</f>
        <v>0</v>
      </c>
      <c r="K6" s="2">
        <v>46266</v>
      </c>
    </row>
    <row r="7" spans="1:11" x14ac:dyDescent="0.3">
      <c r="A7" s="2">
        <v>46266</v>
      </c>
      <c r="B7" t="s">
        <v>48</v>
      </c>
      <c r="C7" t="s">
        <v>49</v>
      </c>
      <c r="D7">
        <v>1</v>
      </c>
      <c r="E7" t="s">
        <v>6</v>
      </c>
      <c r="F7" t="s">
        <v>24</v>
      </c>
      <c r="G7" t="s">
        <v>19</v>
      </c>
      <c r="H7">
        <f>IF(COUNTIFS($A$2:A7,A7,$B$2:B7,B7,$E$2:E7,E7)=1,1,0)</f>
        <v>1</v>
      </c>
      <c r="I7">
        <f>IF(COUNTIFS($A$2:A7,A7,$E$2:E7,E7)=1,1,0)</f>
        <v>1</v>
      </c>
      <c r="J7">
        <f>IF(COUNTIFS($B$2:B7,B7)=1,1,0)</f>
        <v>0</v>
      </c>
      <c r="K7" s="2">
        <v>46266</v>
      </c>
    </row>
    <row r="8" spans="1:11" x14ac:dyDescent="0.3">
      <c r="A8" s="2">
        <v>46266</v>
      </c>
      <c r="B8" t="s">
        <v>42</v>
      </c>
      <c r="C8" t="s">
        <v>43</v>
      </c>
      <c r="D8">
        <v>5.3330000000000002</v>
      </c>
      <c r="E8" t="s">
        <v>7</v>
      </c>
      <c r="F8" t="s">
        <v>27</v>
      </c>
      <c r="G8" t="s">
        <v>19</v>
      </c>
      <c r="H8">
        <f>IF(COUNTIFS($A$2:A8,A8,$B$2:B8,B8,$E$2:E8,E8)=1,1,0)</f>
        <v>1</v>
      </c>
      <c r="I8">
        <f>IF(COUNTIFS($A$2:A8,A8,$E$2:E8,E8)=1,1,0)</f>
        <v>1</v>
      </c>
      <c r="J8">
        <f>IF(COUNTIFS($B$2:B8,B8)=1,1,0)</f>
        <v>1</v>
      </c>
    </row>
    <row r="9" spans="1:11" x14ac:dyDescent="0.3">
      <c r="A9" s="2">
        <v>46266</v>
      </c>
      <c r="B9" t="s">
        <v>48</v>
      </c>
      <c r="C9" t="s">
        <v>49</v>
      </c>
      <c r="D9">
        <v>1</v>
      </c>
      <c r="E9" t="s">
        <v>4</v>
      </c>
      <c r="F9" t="s">
        <v>24</v>
      </c>
      <c r="G9" t="s">
        <v>19</v>
      </c>
      <c r="H9">
        <f>IF(COUNTIFS($A$2:A9,A9,$B$2:B9,B9,$E$2:E9,E9)=1,1,0)</f>
        <v>1</v>
      </c>
      <c r="I9">
        <f>IF(COUNTIFS($A$2:A9,A9,$E$2:E9,E9)=1,1,0)</f>
        <v>0</v>
      </c>
      <c r="J9">
        <f>IF(COUNTIFS($B$2:B9,B9)=1,1,0)</f>
        <v>0</v>
      </c>
      <c r="K9" s="2">
        <v>46266</v>
      </c>
    </row>
    <row r="10" spans="1:11" x14ac:dyDescent="0.3">
      <c r="A10" s="2">
        <v>46266</v>
      </c>
      <c r="B10" t="s">
        <v>32</v>
      </c>
      <c r="C10" t="s">
        <v>33</v>
      </c>
      <c r="D10">
        <v>2</v>
      </c>
      <c r="E10" t="s">
        <v>1</v>
      </c>
      <c r="F10" t="s">
        <v>27</v>
      </c>
      <c r="G10" t="s">
        <v>19</v>
      </c>
      <c r="H10">
        <f>IF(COUNTIFS($A$2:A10,A10,$B$2:B10,B10,$E$2:E10,E10)=1,1,0)</f>
        <v>1</v>
      </c>
      <c r="I10">
        <f>IF(COUNTIFS($A$2:A10,A10,$E$2:E10,E10)=1,1,0)</f>
        <v>0</v>
      </c>
      <c r="J10">
        <f>IF(COUNTIFS($B$2:B10,B10)=1,1,0)</f>
        <v>1</v>
      </c>
    </row>
    <row r="11" spans="1:11" x14ac:dyDescent="0.3">
      <c r="A11" s="2">
        <v>46266</v>
      </c>
      <c r="B11" t="s">
        <v>25</v>
      </c>
      <c r="C11" t="s">
        <v>26</v>
      </c>
      <c r="D11">
        <v>0.33300000000000002</v>
      </c>
      <c r="E11" t="s">
        <v>2</v>
      </c>
      <c r="F11" t="s">
        <v>20</v>
      </c>
      <c r="G11" t="s">
        <v>19</v>
      </c>
      <c r="H11">
        <f>IF(COUNTIFS($A$2:A11,A11,$B$2:B11,B11,$E$2:E11,E11)=1,1,0)</f>
        <v>1</v>
      </c>
      <c r="I11">
        <f>IF(COUNTIFS($A$2:A11,A11,$E$2:E11,E11)=1,1,0)</f>
        <v>0</v>
      </c>
      <c r="J11">
        <f>IF(COUNTIFS($B$2:B11,B11)=1,1,0)</f>
        <v>1</v>
      </c>
    </row>
    <row r="12" spans="1:11" x14ac:dyDescent="0.3">
      <c r="A12" s="2">
        <v>46266</v>
      </c>
      <c r="B12" t="s">
        <v>34</v>
      </c>
      <c r="C12" t="s">
        <v>35</v>
      </c>
      <c r="D12">
        <v>0.5</v>
      </c>
      <c r="E12" t="s">
        <v>3</v>
      </c>
      <c r="F12" t="s">
        <v>27</v>
      </c>
      <c r="G12" t="s">
        <v>19</v>
      </c>
      <c r="H12">
        <f>IF(COUNTIFS($A$2:A12,A12,$B$2:B12,B12,$E$2:E12,E12)=1,1,0)</f>
        <v>1</v>
      </c>
      <c r="I12">
        <f>IF(COUNTIFS($A$2:A12,A12,$E$2:E12,E12)=1,1,0)</f>
        <v>0</v>
      </c>
      <c r="J12">
        <f>IF(COUNTIFS($B$2:B12,B12)=1,1,0)</f>
        <v>1</v>
      </c>
    </row>
    <row r="13" spans="1:11" x14ac:dyDescent="0.3">
      <c r="A13" s="2">
        <v>46266</v>
      </c>
      <c r="B13" t="s">
        <v>48</v>
      </c>
      <c r="C13" t="s">
        <v>49</v>
      </c>
      <c r="D13">
        <v>0.5</v>
      </c>
      <c r="E13" t="s">
        <v>5</v>
      </c>
      <c r="F13" t="s">
        <v>24</v>
      </c>
      <c r="G13" t="s">
        <v>19</v>
      </c>
      <c r="H13">
        <f>IF(COUNTIFS($A$2:A13,A13,$B$2:B13,B13,$E$2:E13,E13)=1,1,0)</f>
        <v>0</v>
      </c>
      <c r="I13">
        <f>IF(COUNTIFS($A$2:A13,A13,$E$2:E13,E13)=1,1,0)</f>
        <v>0</v>
      </c>
      <c r="J13">
        <f>IF(COUNTIFS($B$2:B13,B13)=1,1,0)</f>
        <v>0</v>
      </c>
      <c r="K13" s="2">
        <v>46266</v>
      </c>
    </row>
    <row r="14" spans="1:11" x14ac:dyDescent="0.3">
      <c r="A14" s="2">
        <v>46266</v>
      </c>
      <c r="B14" t="s">
        <v>44</v>
      </c>
      <c r="C14" t="s">
        <v>45</v>
      </c>
      <c r="D14">
        <v>0.5</v>
      </c>
      <c r="E14" t="s">
        <v>6</v>
      </c>
      <c r="F14" t="s">
        <v>20</v>
      </c>
      <c r="G14" t="s">
        <v>19</v>
      </c>
      <c r="H14">
        <f>IF(COUNTIFS($A$2:A14,A14,$B$2:B14,B14,$E$2:E14,E14)=1,1,0)</f>
        <v>1</v>
      </c>
      <c r="I14">
        <f>IF(COUNTIFS($A$2:A14,A14,$E$2:E14,E14)=1,1,0)</f>
        <v>0</v>
      </c>
      <c r="J14">
        <f>IF(COUNTIFS($B$2:B14,B14)=1,1,0)</f>
        <v>1</v>
      </c>
    </row>
    <row r="15" spans="1:11" x14ac:dyDescent="0.3">
      <c r="A15" s="2">
        <v>46266</v>
      </c>
      <c r="B15" t="s">
        <v>30</v>
      </c>
      <c r="C15" t="s">
        <v>31</v>
      </c>
      <c r="D15">
        <v>0.33300000000000002</v>
      </c>
      <c r="E15" t="s">
        <v>4</v>
      </c>
      <c r="F15" t="s">
        <v>20</v>
      </c>
      <c r="G15" t="s">
        <v>19</v>
      </c>
      <c r="H15">
        <f>IF(COUNTIFS($A$2:A15,A15,$B$2:B15,B15,$E$2:E15,E15)=1,1,0)</f>
        <v>1</v>
      </c>
      <c r="I15">
        <f>IF(COUNTIFS($A$2:A15,A15,$E$2:E15,E15)=1,1,0)</f>
        <v>0</v>
      </c>
      <c r="J15">
        <f>IF(COUNTIFS($B$2:B15,B15)=1,1,0)</f>
        <v>1</v>
      </c>
    </row>
    <row r="16" spans="1:11" x14ac:dyDescent="0.3">
      <c r="A16" s="2">
        <v>46266</v>
      </c>
      <c r="B16" t="s">
        <v>22</v>
      </c>
      <c r="C16" t="s">
        <v>23</v>
      </c>
      <c r="D16">
        <v>3.75</v>
      </c>
      <c r="E16" t="s">
        <v>2</v>
      </c>
      <c r="F16" t="s">
        <v>24</v>
      </c>
      <c r="G16" t="s">
        <v>21</v>
      </c>
      <c r="H16">
        <f>IF(COUNTIFS($A$2:A16,A16,$B$2:B16,B16,$E$2:E16,E16)=1,1,0)</f>
        <v>1</v>
      </c>
      <c r="I16">
        <f>IF(COUNTIFS($A$2:A16,A16,$E$2:E16,E16)=1,1,0)</f>
        <v>0</v>
      </c>
      <c r="J16">
        <f>IF(COUNTIFS($B$2:B16,B16)=1,1,0)</f>
        <v>1</v>
      </c>
    </row>
    <row r="17" spans="1:11" x14ac:dyDescent="0.3">
      <c r="A17" s="2">
        <v>46266</v>
      </c>
      <c r="B17" t="s">
        <v>36</v>
      </c>
      <c r="C17" t="s">
        <v>37</v>
      </c>
      <c r="D17">
        <v>0.75</v>
      </c>
      <c r="E17" t="s">
        <v>3</v>
      </c>
      <c r="F17" t="s">
        <v>27</v>
      </c>
      <c r="G17" t="s">
        <v>19</v>
      </c>
      <c r="H17">
        <f>IF(COUNTIFS($A$2:A17,A17,$B$2:B17,B17,$E$2:E17,E17)=1,1,0)</f>
        <v>1</v>
      </c>
      <c r="I17">
        <f>IF(COUNTIFS($A$2:A17,A17,$E$2:E17,E17)=1,1,0)</f>
        <v>0</v>
      </c>
      <c r="J17">
        <f>IF(COUNTIFS($B$2:B17,B17)=1,1,0)</f>
        <v>1</v>
      </c>
    </row>
    <row r="18" spans="1:11" x14ac:dyDescent="0.3">
      <c r="A18" s="2">
        <v>46266</v>
      </c>
      <c r="B18" t="s">
        <v>42</v>
      </c>
      <c r="C18" t="s">
        <v>43</v>
      </c>
      <c r="D18">
        <v>3.5</v>
      </c>
      <c r="E18" t="s">
        <v>5</v>
      </c>
      <c r="F18" t="s">
        <v>27</v>
      </c>
      <c r="G18" t="s">
        <v>19</v>
      </c>
      <c r="H18">
        <f>IF(COUNTIFS($A$2:A18,A18,$B$2:B18,B18,$E$2:E18,E18)=1,1,0)</f>
        <v>1</v>
      </c>
      <c r="I18">
        <f>IF(COUNTIFS($A$2:A18,A18,$E$2:E18,E18)=1,1,0)</f>
        <v>0</v>
      </c>
      <c r="J18">
        <f>IF(COUNTIFS($B$2:B18,B18)=1,1,0)</f>
        <v>0</v>
      </c>
    </row>
    <row r="19" spans="1:11" x14ac:dyDescent="0.3">
      <c r="A19" s="2">
        <v>46266</v>
      </c>
      <c r="B19" t="s">
        <v>22</v>
      </c>
      <c r="C19" t="s">
        <v>23</v>
      </c>
      <c r="D19">
        <v>3.5</v>
      </c>
      <c r="E19" t="s">
        <v>6</v>
      </c>
      <c r="F19" t="s">
        <v>24</v>
      </c>
      <c r="G19" t="s">
        <v>21</v>
      </c>
      <c r="H19">
        <f>IF(COUNTIFS($A$2:A19,A19,$B$2:B19,B19,$E$2:E19,E19)=1,1,0)</f>
        <v>1</v>
      </c>
      <c r="I19">
        <f>IF(COUNTIFS($A$2:A19,A19,$E$2:E19,E19)=1,1,0)</f>
        <v>0</v>
      </c>
      <c r="J19">
        <f>IF(COUNTIFS($B$2:B19,B19)=1,1,0)</f>
        <v>0</v>
      </c>
    </row>
    <row r="20" spans="1:11" x14ac:dyDescent="0.3">
      <c r="A20" s="2">
        <v>46266</v>
      </c>
      <c r="B20" t="s">
        <v>46</v>
      </c>
      <c r="C20" t="s">
        <v>47</v>
      </c>
      <c r="D20">
        <v>0.66700000000000004</v>
      </c>
      <c r="E20" t="s">
        <v>4</v>
      </c>
      <c r="F20" t="s">
        <v>27</v>
      </c>
      <c r="G20" t="s">
        <v>19</v>
      </c>
      <c r="H20">
        <f>IF(COUNTIFS($A$2:A20,A20,$B$2:B20,B20,$E$2:E20,E20)=1,1,0)</f>
        <v>1</v>
      </c>
      <c r="I20">
        <f>IF(COUNTIFS($A$2:A20,A20,$E$2:E20,E20)=1,1,0)</f>
        <v>0</v>
      </c>
      <c r="J20">
        <f>IF(COUNTIFS($B$2:B20,B20)=1,1,0)</f>
        <v>1</v>
      </c>
    </row>
    <row r="21" spans="1:11" x14ac:dyDescent="0.3">
      <c r="A21" s="2">
        <v>46266</v>
      </c>
      <c r="B21" t="s">
        <v>38</v>
      </c>
      <c r="C21" t="s">
        <v>39</v>
      </c>
      <c r="D21">
        <v>3.5</v>
      </c>
      <c r="E21" t="s">
        <v>3</v>
      </c>
      <c r="F21" t="s">
        <v>27</v>
      </c>
      <c r="G21" t="s">
        <v>19</v>
      </c>
      <c r="H21">
        <f>IF(COUNTIFS($A$2:A21,A21,$B$2:B21,B21,$E$2:E21,E21)=1,1,0)</f>
        <v>1</v>
      </c>
      <c r="I21">
        <f>IF(COUNTIFS($A$2:A21,A21,$E$2:E21,E21)=1,1,0)</f>
        <v>0</v>
      </c>
      <c r="J21">
        <f>IF(COUNTIFS($B$2:B21,B21)=1,1,0)</f>
        <v>1</v>
      </c>
    </row>
    <row r="22" spans="1:11" x14ac:dyDescent="0.3">
      <c r="A22" s="2">
        <v>46266</v>
      </c>
      <c r="B22" t="s">
        <v>22</v>
      </c>
      <c r="C22" t="s">
        <v>23</v>
      </c>
      <c r="D22">
        <v>4.25</v>
      </c>
      <c r="E22" t="s">
        <v>4</v>
      </c>
      <c r="F22" t="s">
        <v>24</v>
      </c>
      <c r="G22" t="s">
        <v>21</v>
      </c>
      <c r="H22">
        <f>IF(COUNTIFS($A$2:A22,A22,$B$2:B22,B22,$E$2:E22,E22)=1,1,0)</f>
        <v>1</v>
      </c>
      <c r="I22">
        <f>IF(COUNTIFS($A$2:A22,A22,$E$2:E22,E22)=1,1,0)</f>
        <v>0</v>
      </c>
      <c r="J22">
        <f>IF(COUNTIFS($B$2:B22,B22)=1,1,0)</f>
        <v>0</v>
      </c>
    </row>
    <row r="23" spans="1:11" x14ac:dyDescent="0.3">
      <c r="A23" s="2">
        <v>46266</v>
      </c>
      <c r="B23" t="s">
        <v>22</v>
      </c>
      <c r="C23" t="s">
        <v>23</v>
      </c>
      <c r="D23">
        <v>3</v>
      </c>
      <c r="E23" t="s">
        <v>1</v>
      </c>
      <c r="F23" t="s">
        <v>24</v>
      </c>
      <c r="G23" t="s">
        <v>21</v>
      </c>
      <c r="H23">
        <f>IF(COUNTIFS($A$2:A23,A23,$B$2:B23,B23,$E$2:E23,E23)=1,1,0)</f>
        <v>1</v>
      </c>
      <c r="I23">
        <f>IF(COUNTIFS($A$2:A23,A23,$E$2:E23,E23)=1,1,0)</f>
        <v>0</v>
      </c>
      <c r="J23">
        <f>IF(COUNTIFS($B$2:B23,B23)=1,1,0)</f>
        <v>0</v>
      </c>
    </row>
    <row r="24" spans="1:11" x14ac:dyDescent="0.3">
      <c r="A24" s="2">
        <v>46266</v>
      </c>
      <c r="B24" t="s">
        <v>22</v>
      </c>
      <c r="C24" t="s">
        <v>23</v>
      </c>
      <c r="D24">
        <v>1.667</v>
      </c>
      <c r="E24" t="s">
        <v>5</v>
      </c>
      <c r="F24" t="s">
        <v>24</v>
      </c>
      <c r="G24" t="s">
        <v>21</v>
      </c>
      <c r="H24">
        <f>IF(COUNTIFS($A$2:A24,A24,$B$2:B24,B24,$E$2:E24,E24)=1,1,0)</f>
        <v>1</v>
      </c>
      <c r="I24">
        <f>IF(COUNTIFS($A$2:A24,A24,$E$2:E24,E24)=1,1,0)</f>
        <v>0</v>
      </c>
      <c r="J24">
        <f>IF(COUNTIFS($B$2:B24,B24)=1,1,0)</f>
        <v>0</v>
      </c>
    </row>
    <row r="25" spans="1:11" x14ac:dyDescent="0.3">
      <c r="A25" s="2">
        <v>46266</v>
      </c>
      <c r="B25" t="s">
        <v>50</v>
      </c>
      <c r="C25" t="s">
        <v>51</v>
      </c>
      <c r="D25">
        <v>1</v>
      </c>
      <c r="E25" t="s">
        <v>6</v>
      </c>
      <c r="F25" t="s">
        <v>24</v>
      </c>
      <c r="G25" t="s">
        <v>19</v>
      </c>
      <c r="H25">
        <f>IF(COUNTIFS($A$2:A25,A25,$B$2:B25,B25,$E$2:E25,E25)=1,1,0)</f>
        <v>1</v>
      </c>
      <c r="I25">
        <f>IF(COUNTIFS($A$2:A25,A25,$E$2:E25,E25)=1,1,0)</f>
        <v>0</v>
      </c>
      <c r="J25">
        <f>IF(COUNTIFS($B$2:B25,B25)=1,1,0)</f>
        <v>1</v>
      </c>
    </row>
    <row r="26" spans="1:11" x14ac:dyDescent="0.3">
      <c r="A26" s="2">
        <v>46266</v>
      </c>
      <c r="B26" t="s">
        <v>50</v>
      </c>
      <c r="C26" t="s">
        <v>51</v>
      </c>
      <c r="D26">
        <v>1.25</v>
      </c>
      <c r="E26" t="s">
        <v>2</v>
      </c>
      <c r="F26" t="s">
        <v>24</v>
      </c>
      <c r="G26" t="s">
        <v>19</v>
      </c>
      <c r="H26">
        <f>IF(COUNTIFS($A$2:A26,A26,$B$2:B26,B26,$E$2:E26,E26)=1,1,0)</f>
        <v>1</v>
      </c>
      <c r="I26">
        <f>IF(COUNTIFS($A$2:A26,A26,$E$2:E26,E26)=1,1,0)</f>
        <v>0</v>
      </c>
      <c r="J26">
        <f>IF(COUNTIFS($B$2:B26,B26)=1,1,0)</f>
        <v>0</v>
      </c>
    </row>
    <row r="27" spans="1:11" x14ac:dyDescent="0.3">
      <c r="A27" s="2">
        <v>46266</v>
      </c>
      <c r="B27" t="s">
        <v>48</v>
      </c>
      <c r="C27" t="s">
        <v>49</v>
      </c>
      <c r="D27">
        <v>1</v>
      </c>
      <c r="E27" t="s">
        <v>7</v>
      </c>
      <c r="F27" t="s">
        <v>24</v>
      </c>
      <c r="G27" t="s">
        <v>19</v>
      </c>
      <c r="H27">
        <f>IF(COUNTIFS($A$2:A27,A27,$B$2:B27,B27,$E$2:E27,E27)=1,1,0)</f>
        <v>1</v>
      </c>
      <c r="I27">
        <f>IF(COUNTIFS($A$2:A27,A27,$E$2:E27,E27)=1,1,0)</f>
        <v>0</v>
      </c>
      <c r="J27">
        <f>IF(COUNTIFS($B$2:B27,B27)=1,1,0)</f>
        <v>0</v>
      </c>
      <c r="K27" s="2">
        <v>46266</v>
      </c>
    </row>
    <row r="28" spans="1:11" x14ac:dyDescent="0.3">
      <c r="A28" s="2">
        <v>46267</v>
      </c>
      <c r="B28" t="s">
        <v>48</v>
      </c>
      <c r="C28" t="s">
        <v>49</v>
      </c>
      <c r="D28">
        <v>1</v>
      </c>
      <c r="E28" t="s">
        <v>1</v>
      </c>
      <c r="F28" t="s">
        <v>24</v>
      </c>
      <c r="G28" t="s">
        <v>19</v>
      </c>
      <c r="H28">
        <f>IF(COUNTIFS($A$2:A28,A28,$B$2:B28,B28,$E$2:E28,E28)=1,1,0)</f>
        <v>1</v>
      </c>
      <c r="I28">
        <f>IF(COUNTIFS($A$2:A28,A28,$E$2:E28,E28)=1,1,0)</f>
        <v>1</v>
      </c>
      <c r="J28">
        <f>IF(COUNTIFS($B$2:B28,B28)=1,1,0)</f>
        <v>0</v>
      </c>
      <c r="K28" s="2">
        <v>46266</v>
      </c>
    </row>
    <row r="29" spans="1:11" x14ac:dyDescent="0.3">
      <c r="A29" s="2">
        <v>46267</v>
      </c>
      <c r="B29" t="s">
        <v>48</v>
      </c>
      <c r="C29" t="s">
        <v>49</v>
      </c>
      <c r="D29">
        <v>1</v>
      </c>
      <c r="E29" t="s">
        <v>2</v>
      </c>
      <c r="F29" t="s">
        <v>24</v>
      </c>
      <c r="G29" t="s">
        <v>19</v>
      </c>
      <c r="H29">
        <f>IF(COUNTIFS($A$2:A29,A29,$B$2:B29,B29,$E$2:E29,E29)=1,1,0)</f>
        <v>1</v>
      </c>
      <c r="I29">
        <f>IF(COUNTIFS($A$2:A29,A29,$E$2:E29,E29)=1,1,0)</f>
        <v>1</v>
      </c>
      <c r="J29">
        <f>IF(COUNTIFS($B$2:B29,B29)=1,1,0)</f>
        <v>0</v>
      </c>
      <c r="K29" s="2">
        <v>46266</v>
      </c>
    </row>
    <row r="30" spans="1:11" x14ac:dyDescent="0.3">
      <c r="A30" s="2">
        <v>46267</v>
      </c>
      <c r="B30" t="s">
        <v>48</v>
      </c>
      <c r="C30" t="s">
        <v>49</v>
      </c>
      <c r="D30">
        <v>1</v>
      </c>
      <c r="E30" t="s">
        <v>3</v>
      </c>
      <c r="F30" t="s">
        <v>24</v>
      </c>
      <c r="G30" t="s">
        <v>19</v>
      </c>
      <c r="H30">
        <f>IF(COUNTIFS($A$2:A30,A30,$B$2:B30,B30,$E$2:E30,E30)=1,1,0)</f>
        <v>1</v>
      </c>
      <c r="I30">
        <f>IF(COUNTIFS($A$2:A30,A30,$E$2:E30,E30)=1,1,0)</f>
        <v>1</v>
      </c>
      <c r="J30">
        <f>IF(COUNTIFS($B$2:B30,B30)=1,1,0)</f>
        <v>0</v>
      </c>
      <c r="K30" s="2">
        <v>46266</v>
      </c>
    </row>
    <row r="31" spans="1:11" x14ac:dyDescent="0.3">
      <c r="A31" s="2">
        <v>46267</v>
      </c>
      <c r="B31" t="s">
        <v>48</v>
      </c>
      <c r="C31" t="s">
        <v>49</v>
      </c>
      <c r="D31">
        <v>1</v>
      </c>
      <c r="E31" t="s">
        <v>5</v>
      </c>
      <c r="F31" t="s">
        <v>24</v>
      </c>
      <c r="G31" t="s">
        <v>19</v>
      </c>
      <c r="H31">
        <f>IF(COUNTIFS($A$2:A31,A31,$B$2:B31,B31,$E$2:E31,E31)=1,1,0)</f>
        <v>1</v>
      </c>
      <c r="I31">
        <f>IF(COUNTIFS($A$2:A31,A31,$E$2:E31,E31)=1,1,0)</f>
        <v>1</v>
      </c>
      <c r="J31">
        <f>IF(COUNTIFS($B$2:B31,B31)=1,1,0)</f>
        <v>0</v>
      </c>
      <c r="K31" s="2">
        <v>46266</v>
      </c>
    </row>
    <row r="32" spans="1:11" x14ac:dyDescent="0.3">
      <c r="A32" s="2">
        <v>46267</v>
      </c>
      <c r="B32" t="s">
        <v>52</v>
      </c>
      <c r="C32" t="s">
        <v>53</v>
      </c>
      <c r="D32">
        <v>0.25</v>
      </c>
      <c r="E32" t="s">
        <v>6</v>
      </c>
      <c r="F32" t="s">
        <v>54</v>
      </c>
      <c r="G32" t="s">
        <v>19</v>
      </c>
      <c r="H32">
        <f>IF(COUNTIFS($A$2:A32,A32,$B$2:B32,B32,$E$2:E32,E32)=1,1,0)</f>
        <v>1</v>
      </c>
      <c r="I32">
        <f>IF(COUNTIFS($A$2:A32,A32,$E$2:E32,E32)=1,1,0)</f>
        <v>1</v>
      </c>
      <c r="J32">
        <f>IF(COUNTIFS($B$2:B32,B32)=1,1,0)</f>
        <v>1</v>
      </c>
    </row>
    <row r="33" spans="1:11" x14ac:dyDescent="0.3">
      <c r="A33" s="2">
        <v>46267</v>
      </c>
      <c r="B33" t="s">
        <v>42</v>
      </c>
      <c r="C33" t="s">
        <v>43</v>
      </c>
      <c r="D33">
        <v>6.5</v>
      </c>
      <c r="E33" t="s">
        <v>7</v>
      </c>
      <c r="F33" t="s">
        <v>27</v>
      </c>
      <c r="G33" t="s">
        <v>19</v>
      </c>
      <c r="H33">
        <f>IF(COUNTIFS($A$2:A33,A33,$B$2:B33,B33,$E$2:E33,E33)=1,1,0)</f>
        <v>1</v>
      </c>
      <c r="I33">
        <f>IF(COUNTIFS($A$2:A33,A33,$E$2:E33,E33)=1,1,0)</f>
        <v>1</v>
      </c>
      <c r="J33">
        <f>IF(COUNTIFS($B$2:B33,B33)=1,1,0)</f>
        <v>0</v>
      </c>
    </row>
    <row r="34" spans="1:11" x14ac:dyDescent="0.3">
      <c r="A34" s="2">
        <v>46267</v>
      </c>
      <c r="B34" t="s">
        <v>48</v>
      </c>
      <c r="C34" t="s">
        <v>49</v>
      </c>
      <c r="D34">
        <v>1</v>
      </c>
      <c r="E34" t="s">
        <v>6</v>
      </c>
      <c r="F34" t="s">
        <v>24</v>
      </c>
      <c r="G34" t="s">
        <v>19</v>
      </c>
      <c r="H34">
        <f>IF(COUNTIFS($A$2:A34,A34,$B$2:B34,B34,$E$2:E34,E34)=1,1,0)</f>
        <v>1</v>
      </c>
      <c r="I34">
        <f>IF(COUNTIFS($A$2:A34,A34,$E$2:E34,E34)=1,1,0)</f>
        <v>0</v>
      </c>
      <c r="J34">
        <f>IF(COUNTIFS($B$2:B34,B34)=1,1,0)</f>
        <v>0</v>
      </c>
      <c r="K34" s="2">
        <v>46266</v>
      </c>
    </row>
    <row r="35" spans="1:11" x14ac:dyDescent="0.3">
      <c r="A35" s="2">
        <v>46267</v>
      </c>
      <c r="B35" t="s">
        <v>32</v>
      </c>
      <c r="C35" t="s">
        <v>33</v>
      </c>
      <c r="D35">
        <v>1.5</v>
      </c>
      <c r="E35" t="s">
        <v>1</v>
      </c>
      <c r="F35" t="s">
        <v>27</v>
      </c>
      <c r="G35" t="s">
        <v>19</v>
      </c>
      <c r="H35">
        <f>IF(COUNTIFS($A$2:A35,A35,$B$2:B35,B35,$E$2:E35,E35)=1,1,0)</f>
        <v>1</v>
      </c>
      <c r="I35">
        <f>IF(COUNTIFS($A$2:A35,A35,$E$2:E35,E35)=1,1,0)</f>
        <v>0</v>
      </c>
      <c r="J35">
        <f>IF(COUNTIFS($B$2:B35,B35)=1,1,0)</f>
        <v>0</v>
      </c>
    </row>
    <row r="36" spans="1:11" x14ac:dyDescent="0.3">
      <c r="A36" s="2">
        <v>46267</v>
      </c>
      <c r="B36" t="s">
        <v>25</v>
      </c>
      <c r="C36" t="s">
        <v>26</v>
      </c>
      <c r="D36">
        <v>0.25</v>
      </c>
      <c r="E36" t="s">
        <v>2</v>
      </c>
      <c r="F36" t="s">
        <v>20</v>
      </c>
      <c r="G36" t="s">
        <v>19</v>
      </c>
      <c r="H36">
        <f>IF(COUNTIFS($A$2:A36,A36,$B$2:B36,B36,$E$2:E36,E36)=1,1,0)</f>
        <v>1</v>
      </c>
      <c r="I36">
        <f>IF(COUNTIFS($A$2:A36,A36,$E$2:E36,E36)=1,1,0)</f>
        <v>0</v>
      </c>
      <c r="J36">
        <f>IF(COUNTIFS($B$2:B36,B36)=1,1,0)</f>
        <v>0</v>
      </c>
    </row>
    <row r="37" spans="1:11" x14ac:dyDescent="0.3">
      <c r="A37" s="2">
        <v>46267</v>
      </c>
      <c r="B37" t="s">
        <v>34</v>
      </c>
      <c r="C37" t="s">
        <v>35</v>
      </c>
      <c r="D37">
        <v>0.5</v>
      </c>
      <c r="E37" t="s">
        <v>3</v>
      </c>
      <c r="F37" t="s">
        <v>27</v>
      </c>
      <c r="G37" t="s">
        <v>19</v>
      </c>
      <c r="H37">
        <f>IF(COUNTIFS($A$2:A37,A37,$B$2:B37,B37,$E$2:E37,E37)=1,1,0)</f>
        <v>1</v>
      </c>
      <c r="I37">
        <f>IF(COUNTIFS($A$2:A37,A37,$E$2:E37,E37)=1,1,0)</f>
        <v>0</v>
      </c>
      <c r="J37">
        <f>IF(COUNTIFS($B$2:B37,B37)=1,1,0)</f>
        <v>0</v>
      </c>
    </row>
    <row r="38" spans="1:11" x14ac:dyDescent="0.3">
      <c r="A38" s="2">
        <v>46267</v>
      </c>
      <c r="B38" t="s">
        <v>48</v>
      </c>
      <c r="C38" t="s">
        <v>49</v>
      </c>
      <c r="D38">
        <v>0.5</v>
      </c>
      <c r="E38" t="s">
        <v>5</v>
      </c>
      <c r="F38" t="s">
        <v>24</v>
      </c>
      <c r="G38" t="s">
        <v>19</v>
      </c>
      <c r="H38">
        <f>IF(COUNTIFS($A$2:A38,A38,$B$2:B38,B38,$E$2:E38,E38)=1,1,0)</f>
        <v>0</v>
      </c>
      <c r="I38">
        <f>IF(COUNTIFS($A$2:A38,A38,$E$2:E38,E38)=1,1,0)</f>
        <v>0</v>
      </c>
      <c r="J38">
        <f>IF(COUNTIFS($B$2:B38,B38)=1,1,0)</f>
        <v>0</v>
      </c>
      <c r="K38" s="2">
        <v>46266</v>
      </c>
    </row>
    <row r="39" spans="1:11" x14ac:dyDescent="0.3">
      <c r="A39" s="2">
        <v>46267</v>
      </c>
      <c r="B39" t="s">
        <v>50</v>
      </c>
      <c r="C39" t="s">
        <v>51</v>
      </c>
      <c r="D39">
        <v>5</v>
      </c>
      <c r="E39" t="s">
        <v>2</v>
      </c>
      <c r="F39" t="s">
        <v>24</v>
      </c>
      <c r="G39" t="s">
        <v>19</v>
      </c>
      <c r="H39">
        <f>IF(COUNTIFS($A$2:A39,A39,$B$2:B39,B39,$E$2:E39,E39)=1,1,0)</f>
        <v>1</v>
      </c>
      <c r="I39">
        <f>IF(COUNTIFS($A$2:A39,A39,$E$2:E39,E39)=1,1,0)</f>
        <v>0</v>
      </c>
      <c r="J39">
        <f>IF(COUNTIFS($B$2:B39,B39)=1,1,0)</f>
        <v>0</v>
      </c>
    </row>
    <row r="40" spans="1:11" x14ac:dyDescent="0.3">
      <c r="A40" s="2">
        <v>46267</v>
      </c>
      <c r="B40" t="s">
        <v>50</v>
      </c>
      <c r="C40" t="s">
        <v>51</v>
      </c>
      <c r="D40">
        <v>5</v>
      </c>
      <c r="E40" t="s">
        <v>6</v>
      </c>
      <c r="F40" t="s">
        <v>24</v>
      </c>
      <c r="G40" t="s">
        <v>19</v>
      </c>
      <c r="H40">
        <f>IF(COUNTIFS($A$2:A40,A40,$B$2:B40,B40,$E$2:E40,E40)=1,1,0)</f>
        <v>1</v>
      </c>
      <c r="I40">
        <f>IF(COUNTIFS($A$2:A40,A40,$E$2:E40,E40)=1,1,0)</f>
        <v>0</v>
      </c>
      <c r="J40">
        <f>IF(COUNTIFS($B$2:B40,B40)=1,1,0)</f>
        <v>0</v>
      </c>
    </row>
    <row r="41" spans="1:11" x14ac:dyDescent="0.3">
      <c r="A41" s="2">
        <v>46267</v>
      </c>
      <c r="B41" t="s">
        <v>50</v>
      </c>
      <c r="C41" t="s">
        <v>51</v>
      </c>
      <c r="D41">
        <v>2.5</v>
      </c>
      <c r="E41" t="s">
        <v>3</v>
      </c>
      <c r="F41" t="s">
        <v>24</v>
      </c>
      <c r="G41" t="s">
        <v>19</v>
      </c>
      <c r="H41">
        <f>IF(COUNTIFS($A$2:A41,A41,$B$2:B41,B41,$E$2:E41,E41)=1,1,0)</f>
        <v>1</v>
      </c>
      <c r="I41">
        <f>IF(COUNTIFS($A$2:A41,A41,$E$2:E41,E41)=1,1,0)</f>
        <v>0</v>
      </c>
      <c r="J41">
        <f>IF(COUNTIFS($B$2:B41,B41)=1,1,0)</f>
        <v>0</v>
      </c>
    </row>
    <row r="42" spans="1:11" x14ac:dyDescent="0.3">
      <c r="A42" s="2">
        <v>46267</v>
      </c>
      <c r="B42" t="s">
        <v>42</v>
      </c>
      <c r="C42" t="s">
        <v>43</v>
      </c>
      <c r="D42">
        <v>4.1669999999999998</v>
      </c>
      <c r="E42" t="s">
        <v>5</v>
      </c>
      <c r="F42" t="s">
        <v>27</v>
      </c>
      <c r="G42" t="s">
        <v>19</v>
      </c>
      <c r="H42">
        <f>IF(COUNTIFS($A$2:A42,A42,$B$2:B42,B42,$E$2:E42,E42)=1,1,0)</f>
        <v>1</v>
      </c>
      <c r="I42">
        <f>IF(COUNTIFS($A$2:A42,A42,$E$2:E42,E42)=1,1,0)</f>
        <v>0</v>
      </c>
      <c r="J42">
        <f>IF(COUNTIFS($B$2:B42,B42)=1,1,0)</f>
        <v>0</v>
      </c>
    </row>
    <row r="43" spans="1:11" x14ac:dyDescent="0.3">
      <c r="A43" s="2">
        <v>46267</v>
      </c>
      <c r="B43" t="s">
        <v>22</v>
      </c>
      <c r="C43" t="s">
        <v>23</v>
      </c>
      <c r="D43">
        <v>4</v>
      </c>
      <c r="E43" t="s">
        <v>1</v>
      </c>
      <c r="F43" t="s">
        <v>24</v>
      </c>
      <c r="G43" t="s">
        <v>21</v>
      </c>
      <c r="H43">
        <f>IF(COUNTIFS($A$2:A43,A43,$B$2:B43,B43,$E$2:E43,E43)=1,1,0)</f>
        <v>1</v>
      </c>
      <c r="I43">
        <f>IF(COUNTIFS($A$2:A43,A43,$E$2:E43,E43)=1,1,0)</f>
        <v>0</v>
      </c>
      <c r="J43">
        <f>IF(COUNTIFS($B$2:B43,B43)=1,1,0)</f>
        <v>0</v>
      </c>
    </row>
    <row r="44" spans="1:11" x14ac:dyDescent="0.3">
      <c r="A44" s="2">
        <v>46267</v>
      </c>
      <c r="B44" t="s">
        <v>22</v>
      </c>
      <c r="C44" t="s">
        <v>23</v>
      </c>
      <c r="D44">
        <v>2.4</v>
      </c>
      <c r="E44" t="s">
        <v>3</v>
      </c>
      <c r="F44" t="s">
        <v>24</v>
      </c>
      <c r="G44" t="s">
        <v>21</v>
      </c>
      <c r="H44">
        <f>IF(COUNTIFS($A$2:A44,A44,$B$2:B44,B44,$E$2:E44,E44)=1,1,0)</f>
        <v>1</v>
      </c>
      <c r="I44">
        <f>IF(COUNTIFS($A$2:A44,A44,$E$2:E44,E44)=1,1,0)</f>
        <v>0</v>
      </c>
      <c r="J44">
        <f>IF(COUNTIFS($B$2:B44,B44)=1,1,0)</f>
        <v>0</v>
      </c>
    </row>
    <row r="45" spans="1:11" x14ac:dyDescent="0.3">
      <c r="A45" s="2">
        <v>46267</v>
      </c>
      <c r="B45" t="s">
        <v>50</v>
      </c>
      <c r="C45" t="s">
        <v>51</v>
      </c>
      <c r="D45">
        <v>0.66700000000000004</v>
      </c>
      <c r="E45" t="s">
        <v>5</v>
      </c>
      <c r="F45" t="s">
        <v>24</v>
      </c>
      <c r="G45" t="s">
        <v>19</v>
      </c>
      <c r="H45">
        <f>IF(COUNTIFS($A$2:A45,A45,$B$2:B45,B45,$E$2:E45,E45)=1,1,0)</f>
        <v>1</v>
      </c>
      <c r="I45">
        <f>IF(COUNTIFS($A$2:A45,A45,$E$2:E45,E45)=1,1,0)</f>
        <v>0</v>
      </c>
      <c r="J45">
        <f>IF(COUNTIFS($B$2:B45,B45)=1,1,0)</f>
        <v>0</v>
      </c>
    </row>
    <row r="46" spans="1:11" x14ac:dyDescent="0.3">
      <c r="A46" s="2">
        <v>46267</v>
      </c>
      <c r="B46" t="s">
        <v>48</v>
      </c>
      <c r="C46" t="s">
        <v>49</v>
      </c>
      <c r="D46">
        <v>1</v>
      </c>
      <c r="E46" t="s">
        <v>7</v>
      </c>
      <c r="F46" t="s">
        <v>24</v>
      </c>
      <c r="G46" t="s">
        <v>19</v>
      </c>
      <c r="H46">
        <f>IF(COUNTIFS($A$2:A46,A46,$B$2:B46,B46,$E$2:E46,E46)=1,1,0)</f>
        <v>1</v>
      </c>
      <c r="I46">
        <f>IF(COUNTIFS($A$2:A46,A46,$E$2:E46,E46)=1,1,0)</f>
        <v>0</v>
      </c>
      <c r="J46">
        <f>IF(COUNTIFS($B$2:B46,B46)=1,1,0)</f>
        <v>0</v>
      </c>
      <c r="K46" s="2">
        <v>46266</v>
      </c>
    </row>
    <row r="47" spans="1:11" x14ac:dyDescent="0.3">
      <c r="A47" s="2">
        <v>46268</v>
      </c>
      <c r="B47" t="s">
        <v>55</v>
      </c>
      <c r="C47" t="s">
        <v>56</v>
      </c>
      <c r="D47">
        <v>1.5</v>
      </c>
      <c r="E47" t="s">
        <v>1</v>
      </c>
      <c r="F47" t="s">
        <v>27</v>
      </c>
      <c r="G47" t="s">
        <v>19</v>
      </c>
      <c r="H47">
        <f>IF(COUNTIFS($A$2:A47,A47,$B$2:B47,B47,$E$2:E47,E47)=1,1,0)</f>
        <v>1</v>
      </c>
      <c r="I47">
        <f>IF(COUNTIFS($A$2:A47,A47,$E$2:E47,E47)=1,1,0)</f>
        <v>1</v>
      </c>
      <c r="J47">
        <f>IF(COUNTIFS($B$2:B47,B47)=1,1,0)</f>
        <v>1</v>
      </c>
      <c r="K47" s="2">
        <v>46267</v>
      </c>
    </row>
    <row r="48" spans="1:11" x14ac:dyDescent="0.3">
      <c r="A48" s="2">
        <v>46268</v>
      </c>
      <c r="B48" t="s">
        <v>48</v>
      </c>
      <c r="C48" t="s">
        <v>49</v>
      </c>
      <c r="D48">
        <v>1</v>
      </c>
      <c r="E48" t="s">
        <v>2</v>
      </c>
      <c r="F48" t="s">
        <v>24</v>
      </c>
      <c r="G48" t="s">
        <v>19</v>
      </c>
      <c r="H48">
        <f>IF(COUNTIFS($A$2:A48,A48,$B$2:B48,B48,$E$2:E48,E48)=1,1,0)</f>
        <v>1</v>
      </c>
      <c r="I48">
        <f>IF(COUNTIFS($A$2:A48,A48,$E$2:E48,E48)=1,1,0)</f>
        <v>1</v>
      </c>
      <c r="J48">
        <f>IF(COUNTIFS($B$2:B48,B48)=1,1,0)</f>
        <v>0</v>
      </c>
      <c r="K48" s="2">
        <v>46266</v>
      </c>
    </row>
    <row r="49" spans="1:11" x14ac:dyDescent="0.3">
      <c r="A49" s="2">
        <v>46268</v>
      </c>
      <c r="B49" t="s">
        <v>34</v>
      </c>
      <c r="C49" t="s">
        <v>35</v>
      </c>
      <c r="D49">
        <v>0.5</v>
      </c>
      <c r="E49" t="s">
        <v>3</v>
      </c>
      <c r="F49" t="s">
        <v>27</v>
      </c>
      <c r="G49" t="s">
        <v>19</v>
      </c>
      <c r="H49">
        <f>IF(COUNTIFS($A$2:A49,A49,$B$2:B49,B49,$E$2:E49,E49)=1,1,0)</f>
        <v>1</v>
      </c>
      <c r="I49">
        <f>IF(COUNTIFS($A$2:A49,A49,$E$2:E49,E49)=1,1,0)</f>
        <v>1</v>
      </c>
      <c r="J49">
        <f>IF(COUNTIFS($B$2:B49,B49)=1,1,0)</f>
        <v>0</v>
      </c>
    </row>
    <row r="50" spans="1:11" x14ac:dyDescent="0.3">
      <c r="A50" s="2">
        <v>46268</v>
      </c>
      <c r="B50" t="s">
        <v>57</v>
      </c>
      <c r="C50" t="s">
        <v>58</v>
      </c>
      <c r="D50">
        <v>0.41699999999999998</v>
      </c>
      <c r="E50" t="s">
        <v>4</v>
      </c>
      <c r="F50" t="s">
        <v>20</v>
      </c>
      <c r="G50" t="s">
        <v>19</v>
      </c>
      <c r="H50">
        <f>IF(COUNTIFS($A$2:A50,A50,$B$2:B50,B50,$E$2:E50,E50)=1,1,0)</f>
        <v>1</v>
      </c>
      <c r="I50">
        <f>IF(COUNTIFS($A$2:A50,A50,$E$2:E50,E50)=1,1,0)</f>
        <v>1</v>
      </c>
      <c r="J50">
        <f>IF(COUNTIFS($B$2:B50,B50)=1,1,0)</f>
        <v>1</v>
      </c>
      <c r="K50" s="2">
        <v>46267</v>
      </c>
    </row>
    <row r="51" spans="1:11" x14ac:dyDescent="0.3">
      <c r="A51" s="2">
        <v>46268</v>
      </c>
      <c r="B51" t="s">
        <v>48</v>
      </c>
      <c r="C51" t="s">
        <v>49</v>
      </c>
      <c r="D51">
        <v>1</v>
      </c>
      <c r="E51" t="s">
        <v>5</v>
      </c>
      <c r="F51" t="s">
        <v>24</v>
      </c>
      <c r="G51" t="s">
        <v>19</v>
      </c>
      <c r="H51">
        <f>IF(COUNTIFS($A$2:A51,A51,$B$2:B51,B51,$E$2:E51,E51)=1,1,0)</f>
        <v>1</v>
      </c>
      <c r="I51">
        <f>IF(COUNTIFS($A$2:A51,A51,$E$2:E51,E51)=1,1,0)</f>
        <v>1</v>
      </c>
      <c r="J51">
        <f>IF(COUNTIFS($B$2:B51,B51)=1,1,0)</f>
        <v>0</v>
      </c>
      <c r="K51" s="2">
        <v>46266</v>
      </c>
    </row>
    <row r="52" spans="1:11" x14ac:dyDescent="0.3">
      <c r="A52" s="2">
        <v>46268</v>
      </c>
      <c r="B52" t="s">
        <v>48</v>
      </c>
      <c r="C52" t="s">
        <v>49</v>
      </c>
      <c r="D52">
        <v>1</v>
      </c>
      <c r="E52" t="s">
        <v>6</v>
      </c>
      <c r="F52" t="s">
        <v>24</v>
      </c>
      <c r="G52" t="s">
        <v>19</v>
      </c>
      <c r="H52">
        <f>IF(COUNTIFS($A$2:A52,A52,$B$2:B52,B52,$E$2:E52,E52)=1,1,0)</f>
        <v>1</v>
      </c>
      <c r="I52">
        <f>IF(COUNTIFS($A$2:A52,A52,$E$2:E52,E52)=1,1,0)</f>
        <v>1</v>
      </c>
      <c r="J52">
        <f>IF(COUNTIFS($B$2:B52,B52)=1,1,0)</f>
        <v>0</v>
      </c>
      <c r="K52" s="2">
        <v>46266</v>
      </c>
    </row>
    <row r="53" spans="1:11" x14ac:dyDescent="0.3">
      <c r="A53" s="2">
        <v>46268</v>
      </c>
      <c r="B53" t="s">
        <v>59</v>
      </c>
      <c r="C53" t="s">
        <v>60</v>
      </c>
      <c r="D53">
        <v>0.16700000000000001</v>
      </c>
      <c r="E53" t="s">
        <v>7</v>
      </c>
      <c r="F53" t="s">
        <v>27</v>
      </c>
      <c r="G53" t="s">
        <v>19</v>
      </c>
      <c r="H53">
        <f>IF(COUNTIFS($A$2:A53,A53,$B$2:B53,B53,$E$2:E53,E53)=1,1,0)</f>
        <v>1</v>
      </c>
      <c r="I53">
        <f>IF(COUNTIFS($A$2:A53,A53,$E$2:E53,E53)=1,1,0)</f>
        <v>1</v>
      </c>
      <c r="J53">
        <f>IF(COUNTIFS($B$2:B53,B53)=1,1,0)</f>
        <v>1</v>
      </c>
    </row>
    <row r="54" spans="1:11" x14ac:dyDescent="0.3">
      <c r="A54" s="2">
        <v>46268</v>
      </c>
      <c r="B54" t="s">
        <v>28</v>
      </c>
      <c r="C54" t="s">
        <v>29</v>
      </c>
      <c r="D54">
        <v>0.33300000000000002</v>
      </c>
      <c r="E54" t="s">
        <v>7</v>
      </c>
      <c r="F54" t="s">
        <v>20</v>
      </c>
      <c r="G54" t="s">
        <v>19</v>
      </c>
      <c r="H54">
        <f>IF(COUNTIFS($A$2:A54,A54,$B$2:B54,B54,$E$2:E54,E54)=1,1,0)</f>
        <v>1</v>
      </c>
      <c r="I54">
        <f>IF(COUNTIFS($A$2:A54,A54,$E$2:E54,E54)=1,1,0)</f>
        <v>0</v>
      </c>
      <c r="J54">
        <f>IF(COUNTIFS($B$2:B54,B54)=1,1,0)</f>
        <v>1</v>
      </c>
    </row>
    <row r="55" spans="1:11" x14ac:dyDescent="0.3">
      <c r="A55" s="2">
        <v>46268</v>
      </c>
      <c r="B55" t="s">
        <v>50</v>
      </c>
      <c r="C55" t="s">
        <v>51</v>
      </c>
      <c r="D55">
        <v>0.75</v>
      </c>
      <c r="E55" t="s">
        <v>4</v>
      </c>
      <c r="F55" t="s">
        <v>24</v>
      </c>
      <c r="G55" t="s">
        <v>19</v>
      </c>
      <c r="H55">
        <f>IF(COUNTIFS($A$2:A55,A55,$B$2:B55,B55,$E$2:E55,E55)=1,1,0)</f>
        <v>1</v>
      </c>
      <c r="I55">
        <f>IF(COUNTIFS($A$2:A55,A55,$E$2:E55,E55)=1,1,0)</f>
        <v>0</v>
      </c>
      <c r="J55">
        <f>IF(COUNTIFS($B$2:B55,B55)=1,1,0)</f>
        <v>0</v>
      </c>
    </row>
    <row r="56" spans="1:11" x14ac:dyDescent="0.3">
      <c r="A56" s="2">
        <v>46268</v>
      </c>
      <c r="B56" t="s">
        <v>48</v>
      </c>
      <c r="C56" t="s">
        <v>49</v>
      </c>
      <c r="D56">
        <v>1</v>
      </c>
      <c r="E56" t="s">
        <v>3</v>
      </c>
      <c r="F56" t="s">
        <v>24</v>
      </c>
      <c r="G56" t="s">
        <v>19</v>
      </c>
      <c r="H56">
        <f>IF(COUNTIFS($A$2:A56,A56,$B$2:B56,B56,$E$2:E56,E56)=1,1,0)</f>
        <v>1</v>
      </c>
      <c r="I56">
        <f>IF(COUNTIFS($A$2:A56,A56,$E$2:E56,E56)=1,1,0)</f>
        <v>0</v>
      </c>
      <c r="J56">
        <f>IF(COUNTIFS($B$2:B56,B56)=1,1,0)</f>
        <v>0</v>
      </c>
      <c r="K56" s="2">
        <v>46266</v>
      </c>
    </row>
    <row r="57" spans="1:11" x14ac:dyDescent="0.3">
      <c r="A57" s="2">
        <v>46268</v>
      </c>
      <c r="B57" t="s">
        <v>30</v>
      </c>
      <c r="C57" t="s">
        <v>31</v>
      </c>
      <c r="D57">
        <v>0.16700000000000001</v>
      </c>
      <c r="E57" t="s">
        <v>7</v>
      </c>
      <c r="F57" t="s">
        <v>20</v>
      </c>
      <c r="G57" t="s">
        <v>19</v>
      </c>
      <c r="H57">
        <f>IF(COUNTIFS($A$2:A57,A57,$B$2:B57,B57,$E$2:E57,E57)=1,1,0)</f>
        <v>1</v>
      </c>
      <c r="I57">
        <f>IF(COUNTIFS($A$2:A57,A57,$E$2:E57,E57)=1,1,0)</f>
        <v>0</v>
      </c>
      <c r="J57">
        <f>IF(COUNTIFS($B$2:B57,B57)=1,1,0)</f>
        <v>0</v>
      </c>
    </row>
    <row r="58" spans="1:11" x14ac:dyDescent="0.3">
      <c r="A58" s="2">
        <v>46268</v>
      </c>
      <c r="B58" t="s">
        <v>48</v>
      </c>
      <c r="C58" t="s">
        <v>49</v>
      </c>
      <c r="D58">
        <v>1</v>
      </c>
      <c r="E58" t="s">
        <v>7</v>
      </c>
      <c r="F58" t="s">
        <v>24</v>
      </c>
      <c r="G58" t="s">
        <v>19</v>
      </c>
      <c r="H58">
        <f>IF(COUNTIFS($A$2:A58,A58,$B$2:B58,B58,$E$2:E58,E58)=1,1,0)</f>
        <v>1</v>
      </c>
      <c r="I58">
        <f>IF(COUNTIFS($A$2:A58,A58,$E$2:E58,E58)=1,1,0)</f>
        <v>0</v>
      </c>
      <c r="J58">
        <f>IF(COUNTIFS($B$2:B58,B58)=1,1,0)</f>
        <v>0</v>
      </c>
      <c r="K58" s="2">
        <v>46266</v>
      </c>
    </row>
    <row r="59" spans="1:11" x14ac:dyDescent="0.3">
      <c r="A59" s="2">
        <v>46268</v>
      </c>
      <c r="B59" t="s">
        <v>57</v>
      </c>
      <c r="C59" t="s">
        <v>58</v>
      </c>
      <c r="D59">
        <v>0.58299999999999996</v>
      </c>
      <c r="E59" t="s">
        <v>2</v>
      </c>
      <c r="F59" t="s">
        <v>20</v>
      </c>
      <c r="G59" t="s">
        <v>19</v>
      </c>
      <c r="H59">
        <f>IF(COUNTIFS($A$2:A59,A59,$B$2:B59,B59,$E$2:E59,E59)=1,1,0)</f>
        <v>1</v>
      </c>
      <c r="I59">
        <f>IF(COUNTIFS($A$2:A59,A59,$E$2:E59,E59)=1,1,0)</f>
        <v>0</v>
      </c>
      <c r="J59">
        <f>IF(COUNTIFS($B$2:B59,B59)=1,1,0)</f>
        <v>0</v>
      </c>
      <c r="K59" s="2">
        <v>46267</v>
      </c>
    </row>
    <row r="60" spans="1:11" x14ac:dyDescent="0.3">
      <c r="A60" s="2">
        <v>46268</v>
      </c>
      <c r="B60" t="s">
        <v>48</v>
      </c>
      <c r="C60" t="s">
        <v>49</v>
      </c>
      <c r="D60">
        <v>0.5</v>
      </c>
      <c r="E60" t="s">
        <v>5</v>
      </c>
      <c r="F60" t="s">
        <v>24</v>
      </c>
      <c r="G60" t="s">
        <v>19</v>
      </c>
      <c r="H60">
        <f>IF(COUNTIFS($A$2:A60,A60,$B$2:B60,B60,$E$2:E60,E60)=1,1,0)</f>
        <v>0</v>
      </c>
      <c r="I60">
        <f>IF(COUNTIFS($A$2:A60,A60,$E$2:E60,E60)=1,1,0)</f>
        <v>0</v>
      </c>
      <c r="J60">
        <f>IF(COUNTIFS($B$2:B60,B60)=1,1,0)</f>
        <v>0</v>
      </c>
      <c r="K60" s="2">
        <v>46266</v>
      </c>
    </row>
    <row r="61" spans="1:11" x14ac:dyDescent="0.3">
      <c r="A61" s="2">
        <v>46268</v>
      </c>
      <c r="B61" t="s">
        <v>50</v>
      </c>
      <c r="C61" t="s">
        <v>51</v>
      </c>
      <c r="D61">
        <v>4</v>
      </c>
      <c r="E61" t="s">
        <v>6</v>
      </c>
      <c r="F61" t="s">
        <v>24</v>
      </c>
      <c r="G61" t="s">
        <v>19</v>
      </c>
      <c r="H61">
        <f>IF(COUNTIFS($A$2:A61,A61,$B$2:B61,B61,$E$2:E61,E61)=1,1,0)</f>
        <v>1</v>
      </c>
      <c r="I61">
        <f>IF(COUNTIFS($A$2:A61,A61,$E$2:E61,E61)=1,1,0)</f>
        <v>0</v>
      </c>
      <c r="J61">
        <f>IF(COUNTIFS($B$2:B61,B61)=1,1,0)</f>
        <v>0</v>
      </c>
    </row>
    <row r="62" spans="1:11" x14ac:dyDescent="0.3">
      <c r="A62" s="2">
        <v>46268</v>
      </c>
      <c r="B62" t="s">
        <v>48</v>
      </c>
      <c r="C62" t="s">
        <v>49</v>
      </c>
      <c r="D62">
        <v>1</v>
      </c>
      <c r="E62" t="s">
        <v>4</v>
      </c>
      <c r="F62" t="s">
        <v>24</v>
      </c>
      <c r="G62" t="s">
        <v>19</v>
      </c>
      <c r="H62">
        <f>IF(COUNTIFS($A$2:A62,A62,$B$2:B62,B62,$E$2:E62,E62)=1,1,0)</f>
        <v>1</v>
      </c>
      <c r="I62">
        <f>IF(COUNTIFS($A$2:A62,A62,$E$2:E62,E62)=1,1,0)</f>
        <v>0</v>
      </c>
      <c r="J62">
        <f>IF(COUNTIFS($B$2:B62,B62)=1,1,0)</f>
        <v>0</v>
      </c>
      <c r="K62" s="2">
        <v>46266</v>
      </c>
    </row>
    <row r="63" spans="1:11" x14ac:dyDescent="0.3">
      <c r="A63" s="2">
        <v>46268</v>
      </c>
      <c r="B63" t="s">
        <v>48</v>
      </c>
      <c r="C63" t="s">
        <v>49</v>
      </c>
      <c r="D63">
        <v>1</v>
      </c>
      <c r="E63" t="s">
        <v>1</v>
      </c>
      <c r="F63" t="s">
        <v>24</v>
      </c>
      <c r="G63" t="s">
        <v>19</v>
      </c>
      <c r="H63">
        <f>IF(COUNTIFS($A$2:A63,A63,$B$2:B63,B63,$E$2:E63,E63)=1,1,0)</f>
        <v>1</v>
      </c>
      <c r="I63">
        <f>IF(COUNTIFS($A$2:A63,A63,$E$2:E63,E63)=1,1,0)</f>
        <v>0</v>
      </c>
      <c r="J63">
        <f>IF(COUNTIFS($B$2:B63,B63)=1,1,0)</f>
        <v>0</v>
      </c>
      <c r="K63" s="2">
        <v>46266</v>
      </c>
    </row>
    <row r="64" spans="1:11" x14ac:dyDescent="0.3">
      <c r="A64" s="2">
        <v>46268</v>
      </c>
      <c r="B64" t="s">
        <v>61</v>
      </c>
      <c r="C64" t="s">
        <v>62</v>
      </c>
      <c r="D64">
        <v>1</v>
      </c>
      <c r="E64" t="s">
        <v>3</v>
      </c>
      <c r="F64" t="s">
        <v>27</v>
      </c>
      <c r="G64" t="s">
        <v>19</v>
      </c>
      <c r="H64">
        <f>IF(COUNTIFS($A$2:A64,A64,$B$2:B64,B64,$E$2:E64,E64)=1,1,0)</f>
        <v>1</v>
      </c>
      <c r="I64">
        <f>IF(COUNTIFS($A$2:A64,A64,$E$2:E64,E64)=1,1,0)</f>
        <v>0</v>
      </c>
      <c r="J64">
        <f>IF(COUNTIFS($B$2:B64,B64)=1,1,0)</f>
        <v>1</v>
      </c>
      <c r="K64" s="2">
        <v>46267</v>
      </c>
    </row>
    <row r="65" spans="1:11" x14ac:dyDescent="0.3">
      <c r="A65" s="2">
        <v>46268</v>
      </c>
      <c r="B65" t="s">
        <v>55</v>
      </c>
      <c r="C65" t="s">
        <v>56</v>
      </c>
      <c r="D65">
        <v>3.5</v>
      </c>
      <c r="E65" t="s">
        <v>5</v>
      </c>
      <c r="F65" t="s">
        <v>27</v>
      </c>
      <c r="G65" t="s">
        <v>19</v>
      </c>
      <c r="H65">
        <f>IF(COUNTIFS($A$2:A65,A65,$B$2:B65,B65,$E$2:E65,E65)=1,1,0)</f>
        <v>1</v>
      </c>
      <c r="I65">
        <f>IF(COUNTIFS($A$2:A65,A65,$E$2:E65,E65)=1,1,0)</f>
        <v>0</v>
      </c>
      <c r="J65">
        <f>IF(COUNTIFS($B$2:B65,B65)=1,1,0)</f>
        <v>0</v>
      </c>
      <c r="K65" s="2">
        <v>46267</v>
      </c>
    </row>
    <row r="66" spans="1:11" x14ac:dyDescent="0.3">
      <c r="A66" s="2">
        <v>46268</v>
      </c>
      <c r="B66" t="s">
        <v>57</v>
      </c>
      <c r="C66" t="s">
        <v>58</v>
      </c>
      <c r="D66">
        <v>0.25</v>
      </c>
      <c r="E66" t="s">
        <v>2</v>
      </c>
      <c r="F66" t="s">
        <v>20</v>
      </c>
      <c r="G66" t="s">
        <v>19</v>
      </c>
      <c r="H66">
        <f>IF(COUNTIFS($A$2:A66,A66,$B$2:B66,B66,$E$2:E66,E66)=1,1,0)</f>
        <v>0</v>
      </c>
      <c r="I66">
        <f>IF(COUNTIFS($A$2:A66,A66,$E$2:E66,E66)=1,1,0)</f>
        <v>0</v>
      </c>
      <c r="J66">
        <f>IF(COUNTIFS($B$2:B66,B66)=1,1,0)</f>
        <v>0</v>
      </c>
      <c r="K66" s="2">
        <v>46267</v>
      </c>
    </row>
    <row r="67" spans="1:11" x14ac:dyDescent="0.3">
      <c r="A67" s="2">
        <v>46268</v>
      </c>
      <c r="B67" t="s">
        <v>42</v>
      </c>
      <c r="C67" t="s">
        <v>43</v>
      </c>
      <c r="D67">
        <v>0.33300000000000002</v>
      </c>
      <c r="E67" t="s">
        <v>7</v>
      </c>
      <c r="F67" t="s">
        <v>27</v>
      </c>
      <c r="G67" t="s">
        <v>19</v>
      </c>
      <c r="H67">
        <f>IF(COUNTIFS($A$2:A67,A67,$B$2:B67,B67,$E$2:E67,E67)=1,1,0)</f>
        <v>1</v>
      </c>
      <c r="I67">
        <f>IF(COUNTIFS($A$2:A67,A67,$E$2:E67,E67)=1,1,0)</f>
        <v>0</v>
      </c>
      <c r="J67">
        <f>IF(COUNTIFS($B$2:B67,B67)=1,1,0)</f>
        <v>0</v>
      </c>
    </row>
    <row r="68" spans="1:11" x14ac:dyDescent="0.3">
      <c r="A68" s="2">
        <v>46268</v>
      </c>
      <c r="B68" t="s">
        <v>50</v>
      </c>
      <c r="C68" t="s">
        <v>51</v>
      </c>
      <c r="D68">
        <v>5</v>
      </c>
      <c r="E68" t="s">
        <v>2</v>
      </c>
      <c r="F68" t="s">
        <v>24</v>
      </c>
      <c r="G68" t="s">
        <v>19</v>
      </c>
      <c r="H68">
        <f>IF(COUNTIFS($A$2:A68,A68,$B$2:B68,B68,$E$2:E68,E68)=1,1,0)</f>
        <v>1</v>
      </c>
      <c r="I68">
        <f>IF(COUNTIFS($A$2:A68,A68,$E$2:E68,E68)=1,1,0)</f>
        <v>0</v>
      </c>
      <c r="J68">
        <f>IF(COUNTIFS($B$2:B68,B68)=1,1,0)</f>
        <v>0</v>
      </c>
    </row>
    <row r="69" spans="1:11" x14ac:dyDescent="0.3">
      <c r="A69" s="2">
        <v>46268</v>
      </c>
      <c r="B69" t="s">
        <v>55</v>
      </c>
      <c r="C69" t="s">
        <v>56</v>
      </c>
      <c r="D69">
        <v>6</v>
      </c>
      <c r="E69" t="s">
        <v>7</v>
      </c>
      <c r="F69" t="s">
        <v>27</v>
      </c>
      <c r="G69" t="s">
        <v>19</v>
      </c>
      <c r="H69">
        <f>IF(COUNTIFS($A$2:A69,A69,$B$2:B69,B69,$E$2:E69,E69)=1,1,0)</f>
        <v>1</v>
      </c>
      <c r="I69">
        <f>IF(COUNTIFS($A$2:A69,A69,$E$2:E69,E69)=1,1,0)</f>
        <v>0</v>
      </c>
      <c r="J69">
        <f>IF(COUNTIFS($B$2:B69,B69)=1,1,0)</f>
        <v>0</v>
      </c>
      <c r="K69" s="2">
        <v>46267</v>
      </c>
    </row>
    <row r="70" spans="1:11" x14ac:dyDescent="0.3">
      <c r="A70" s="2">
        <v>46268</v>
      </c>
      <c r="B70" t="s">
        <v>61</v>
      </c>
      <c r="C70" t="s">
        <v>62</v>
      </c>
      <c r="D70">
        <v>3</v>
      </c>
      <c r="E70" t="s">
        <v>4</v>
      </c>
      <c r="F70" t="s">
        <v>27</v>
      </c>
      <c r="G70" t="s">
        <v>19</v>
      </c>
      <c r="H70">
        <f>IF(COUNTIFS($A$2:A70,A70,$B$2:B70,B70,$E$2:E70,E70)=1,1,0)</f>
        <v>1</v>
      </c>
      <c r="I70">
        <f>IF(COUNTIFS($A$2:A70,A70,$E$2:E70,E70)=1,1,0)</f>
        <v>0</v>
      </c>
      <c r="J70">
        <f>IF(COUNTIFS($B$2:B70,B70)=1,1,0)</f>
        <v>0</v>
      </c>
      <c r="K70" s="2">
        <v>46267</v>
      </c>
    </row>
    <row r="71" spans="1:11" x14ac:dyDescent="0.3">
      <c r="A71" s="2">
        <v>46268</v>
      </c>
      <c r="B71" t="s">
        <v>55</v>
      </c>
      <c r="C71" t="s">
        <v>56</v>
      </c>
      <c r="D71">
        <v>6</v>
      </c>
      <c r="E71" t="s">
        <v>1</v>
      </c>
      <c r="F71" t="s">
        <v>27</v>
      </c>
      <c r="G71" t="s">
        <v>19</v>
      </c>
      <c r="H71">
        <f>IF(COUNTIFS($A$2:A71,A71,$B$2:B71,B71,$E$2:E71,E71)=1,1,0)</f>
        <v>0</v>
      </c>
      <c r="I71">
        <f>IF(COUNTIFS($A$2:A71,A71,$E$2:E71,E71)=1,1,0)</f>
        <v>0</v>
      </c>
      <c r="J71">
        <f>IF(COUNTIFS($B$2:B71,B71)=1,1,0)</f>
        <v>0</v>
      </c>
      <c r="K71" s="2">
        <v>46267</v>
      </c>
    </row>
    <row r="72" spans="1:11" x14ac:dyDescent="0.3">
      <c r="A72" s="2">
        <v>46268</v>
      </c>
      <c r="B72" t="s">
        <v>61</v>
      </c>
      <c r="C72" t="s">
        <v>62</v>
      </c>
      <c r="D72">
        <v>5.3</v>
      </c>
      <c r="E72" t="s">
        <v>3</v>
      </c>
      <c r="F72" t="s">
        <v>27</v>
      </c>
      <c r="G72" t="s">
        <v>19</v>
      </c>
      <c r="H72">
        <f>IF(COUNTIFS($A$2:A72,A72,$B$2:B72,B72,$E$2:E72,E72)=1,1,0)</f>
        <v>0</v>
      </c>
      <c r="I72">
        <f>IF(COUNTIFS($A$2:A72,A72,$E$2:E72,E72)=1,1,0)</f>
        <v>0</v>
      </c>
      <c r="J72">
        <f>IF(COUNTIFS($B$2:B72,B72)=1,1,0)</f>
        <v>0</v>
      </c>
      <c r="K72" s="2">
        <v>46267</v>
      </c>
    </row>
    <row r="73" spans="1:11" x14ac:dyDescent="0.3">
      <c r="A73" s="2">
        <v>46268</v>
      </c>
      <c r="B73" t="s">
        <v>50</v>
      </c>
      <c r="C73" t="s">
        <v>51</v>
      </c>
      <c r="D73">
        <v>1.167</v>
      </c>
      <c r="E73" t="s">
        <v>5</v>
      </c>
      <c r="F73" t="s">
        <v>24</v>
      </c>
      <c r="G73" t="s">
        <v>19</v>
      </c>
      <c r="H73">
        <f>IF(COUNTIFS($A$2:A73,A73,$B$2:B73,B73,$E$2:E73,E73)=1,1,0)</f>
        <v>1</v>
      </c>
      <c r="I73">
        <f>IF(COUNTIFS($A$2:A73,A73,$E$2:E73,E73)=1,1,0)</f>
        <v>0</v>
      </c>
      <c r="J73">
        <f>IF(COUNTIFS($B$2:B73,B73)=1,1,0)</f>
        <v>0</v>
      </c>
    </row>
    <row r="74" spans="1:11" x14ac:dyDescent="0.3">
      <c r="A74" s="2">
        <v>46268</v>
      </c>
      <c r="B74" t="s">
        <v>61</v>
      </c>
      <c r="C74" t="s">
        <v>62</v>
      </c>
      <c r="D74">
        <v>2</v>
      </c>
      <c r="E74" t="s">
        <v>6</v>
      </c>
      <c r="F74" t="s">
        <v>27</v>
      </c>
      <c r="G74" t="s">
        <v>19</v>
      </c>
      <c r="H74">
        <f>IF(COUNTIFS($A$2:A74,A74,$B$2:B74,B74,$E$2:E74,E74)=1,1,0)</f>
        <v>1</v>
      </c>
      <c r="I74">
        <f>IF(COUNTIFS($A$2:A74,A74,$E$2:E74,E74)=1,1,0)</f>
        <v>0</v>
      </c>
      <c r="J74">
        <f>IF(COUNTIFS($B$2:B74,B74)=1,1,0)</f>
        <v>0</v>
      </c>
      <c r="K74" s="2">
        <v>46267</v>
      </c>
    </row>
    <row r="75" spans="1:11" x14ac:dyDescent="0.3">
      <c r="A75" s="2">
        <v>46268</v>
      </c>
      <c r="B75" t="s">
        <v>22</v>
      </c>
      <c r="C75" t="s">
        <v>23</v>
      </c>
      <c r="D75">
        <v>2</v>
      </c>
      <c r="E75" t="s">
        <v>4</v>
      </c>
      <c r="F75" t="s">
        <v>24</v>
      </c>
      <c r="G75" t="s">
        <v>21</v>
      </c>
      <c r="H75">
        <f>IF(COUNTIFS($A$2:A75,A75,$B$2:B75,B75,$E$2:E75,E75)=1,1,0)</f>
        <v>1</v>
      </c>
      <c r="I75">
        <f>IF(COUNTIFS($A$2:A75,A75,$E$2:E75,E75)=1,1,0)</f>
        <v>0</v>
      </c>
      <c r="J75">
        <f>IF(COUNTIFS($B$2:B75,B75)=1,1,0)</f>
        <v>0</v>
      </c>
    </row>
    <row r="76" spans="1:11" x14ac:dyDescent="0.3">
      <c r="A76" s="2">
        <v>46268</v>
      </c>
      <c r="B76" t="s">
        <v>42</v>
      </c>
      <c r="C76" t="s">
        <v>43</v>
      </c>
      <c r="D76">
        <v>1.667</v>
      </c>
      <c r="E76" t="s">
        <v>5</v>
      </c>
      <c r="F76" t="s">
        <v>27</v>
      </c>
      <c r="G76" t="s">
        <v>19</v>
      </c>
      <c r="H76">
        <f>IF(COUNTIFS($A$2:A76,A76,$B$2:B76,B76,$E$2:E76,E76)=1,1,0)</f>
        <v>1</v>
      </c>
      <c r="I76">
        <f>IF(COUNTIFS($A$2:A76,A76,$E$2:E76,E76)=1,1,0)</f>
        <v>0</v>
      </c>
      <c r="J76">
        <f>IF(COUNTIFS($B$2:B76,B76)=1,1,0)</f>
        <v>0</v>
      </c>
    </row>
    <row r="77" spans="1:11" x14ac:dyDescent="0.3">
      <c r="A77" s="2">
        <v>46269</v>
      </c>
      <c r="B77" t="s">
        <v>48</v>
      </c>
      <c r="C77" t="s">
        <v>49</v>
      </c>
      <c r="D77">
        <v>1</v>
      </c>
      <c r="E77" t="s">
        <v>1</v>
      </c>
      <c r="F77" t="s">
        <v>24</v>
      </c>
      <c r="G77" t="s">
        <v>19</v>
      </c>
      <c r="H77">
        <f>IF(COUNTIFS($A$2:A77,A77,$B$2:B77,B77,$E$2:E77,E77)=1,1,0)</f>
        <v>1</v>
      </c>
      <c r="I77">
        <f>IF(COUNTIFS($A$2:A77,A77,$E$2:E77,E77)=1,1,0)</f>
        <v>1</v>
      </c>
      <c r="J77">
        <f>IF(COUNTIFS($B$2:B77,B77)=1,1,0)</f>
        <v>0</v>
      </c>
      <c r="K77" s="2">
        <v>46266</v>
      </c>
    </row>
    <row r="78" spans="1:11" x14ac:dyDescent="0.3">
      <c r="A78" s="2">
        <v>46269</v>
      </c>
      <c r="B78" t="s">
        <v>48</v>
      </c>
      <c r="C78" t="s">
        <v>49</v>
      </c>
      <c r="D78">
        <v>1</v>
      </c>
      <c r="E78" t="s">
        <v>2</v>
      </c>
      <c r="F78" t="s">
        <v>24</v>
      </c>
      <c r="G78" t="s">
        <v>19</v>
      </c>
      <c r="H78">
        <f>IF(COUNTIFS($A$2:A78,A78,$B$2:B78,B78,$E$2:E78,E78)=1,1,0)</f>
        <v>1</v>
      </c>
      <c r="I78">
        <f>IF(COUNTIFS($A$2:A78,A78,$E$2:E78,E78)=1,1,0)</f>
        <v>1</v>
      </c>
      <c r="J78">
        <f>IF(COUNTIFS($B$2:B78,B78)=1,1,0)</f>
        <v>0</v>
      </c>
      <c r="K78" s="2">
        <v>46266</v>
      </c>
    </row>
    <row r="79" spans="1:11" x14ac:dyDescent="0.3">
      <c r="A79" s="2">
        <v>46269</v>
      </c>
      <c r="B79" t="s">
        <v>48</v>
      </c>
      <c r="C79" t="s">
        <v>49</v>
      </c>
      <c r="D79">
        <v>1</v>
      </c>
      <c r="E79" t="s">
        <v>3</v>
      </c>
      <c r="F79" t="s">
        <v>24</v>
      </c>
      <c r="G79" t="s">
        <v>19</v>
      </c>
      <c r="H79">
        <f>IF(COUNTIFS($A$2:A79,A79,$B$2:B79,B79,$E$2:E79,E79)=1,1,0)</f>
        <v>1</v>
      </c>
      <c r="I79">
        <f>IF(COUNTIFS($A$2:A79,A79,$E$2:E79,E79)=1,1,0)</f>
        <v>1</v>
      </c>
      <c r="J79">
        <f>IF(COUNTIFS($B$2:B79,B79)=1,1,0)</f>
        <v>0</v>
      </c>
      <c r="K79" s="2">
        <v>46266</v>
      </c>
    </row>
    <row r="80" spans="1:11" x14ac:dyDescent="0.3">
      <c r="A80" s="2">
        <v>46269</v>
      </c>
      <c r="B80" t="s">
        <v>48</v>
      </c>
      <c r="C80" t="s">
        <v>49</v>
      </c>
      <c r="D80">
        <v>1</v>
      </c>
      <c r="E80" t="s">
        <v>4</v>
      </c>
      <c r="F80" t="s">
        <v>24</v>
      </c>
      <c r="G80" t="s">
        <v>19</v>
      </c>
      <c r="H80">
        <f>IF(COUNTIFS($A$2:A80,A80,$B$2:B80,B80,$E$2:E80,E80)=1,1,0)</f>
        <v>1</v>
      </c>
      <c r="I80">
        <f>IF(COUNTIFS($A$2:A80,A80,$E$2:E80,E80)=1,1,0)</f>
        <v>1</v>
      </c>
      <c r="J80">
        <f>IF(COUNTIFS($B$2:B80,B80)=1,1,0)</f>
        <v>0</v>
      </c>
      <c r="K80" s="2">
        <v>46266</v>
      </c>
    </row>
    <row r="81" spans="1:11" x14ac:dyDescent="0.3">
      <c r="A81" s="2">
        <v>46269</v>
      </c>
      <c r="B81" t="s">
        <v>48</v>
      </c>
      <c r="C81" t="s">
        <v>49</v>
      </c>
      <c r="D81">
        <v>1</v>
      </c>
      <c r="E81" t="s">
        <v>5</v>
      </c>
      <c r="F81" t="s">
        <v>24</v>
      </c>
      <c r="G81" t="s">
        <v>19</v>
      </c>
      <c r="H81">
        <f>IF(COUNTIFS($A$2:A81,A81,$B$2:B81,B81,$E$2:E81,E81)=1,1,0)</f>
        <v>1</v>
      </c>
      <c r="I81">
        <f>IF(COUNTIFS($A$2:A81,A81,$E$2:E81,E81)=1,1,0)</f>
        <v>1</v>
      </c>
      <c r="J81">
        <f>IF(COUNTIFS($B$2:B81,B81)=1,1,0)</f>
        <v>0</v>
      </c>
      <c r="K81" s="2">
        <v>46266</v>
      </c>
    </row>
    <row r="82" spans="1:11" x14ac:dyDescent="0.3">
      <c r="A82" s="2">
        <v>46269</v>
      </c>
      <c r="B82" t="s">
        <v>48</v>
      </c>
      <c r="C82" t="s">
        <v>49</v>
      </c>
      <c r="D82">
        <v>1</v>
      </c>
      <c r="E82" t="s">
        <v>6</v>
      </c>
      <c r="F82" t="s">
        <v>24</v>
      </c>
      <c r="G82" t="s">
        <v>19</v>
      </c>
      <c r="H82">
        <f>IF(COUNTIFS($A$2:A82,A82,$B$2:B82,B82,$E$2:E82,E82)=1,1,0)</f>
        <v>1</v>
      </c>
      <c r="I82">
        <f>IF(COUNTIFS($A$2:A82,A82,$E$2:E82,E82)=1,1,0)</f>
        <v>1</v>
      </c>
      <c r="J82">
        <f>IF(COUNTIFS($B$2:B82,B82)=1,1,0)</f>
        <v>0</v>
      </c>
      <c r="K82" s="2">
        <v>46266</v>
      </c>
    </row>
    <row r="83" spans="1:11" x14ac:dyDescent="0.3">
      <c r="A83" s="2">
        <v>46269</v>
      </c>
      <c r="B83" t="s">
        <v>48</v>
      </c>
      <c r="C83" t="s">
        <v>49</v>
      </c>
      <c r="D83">
        <v>1</v>
      </c>
      <c r="E83" t="s">
        <v>7</v>
      </c>
      <c r="F83" t="s">
        <v>24</v>
      </c>
      <c r="G83" t="s">
        <v>19</v>
      </c>
      <c r="H83">
        <f>IF(COUNTIFS($A$2:A83,A83,$B$2:B83,B83,$E$2:E83,E83)=1,1,0)</f>
        <v>1</v>
      </c>
      <c r="I83">
        <f>IF(COUNTIFS($A$2:A83,A83,$E$2:E83,E83)=1,1,0)</f>
        <v>1</v>
      </c>
      <c r="J83">
        <f>IF(COUNTIFS($B$2:B83,B83)=1,1,0)</f>
        <v>0</v>
      </c>
      <c r="K83" s="2">
        <v>46266</v>
      </c>
    </row>
    <row r="84" spans="1:11" x14ac:dyDescent="0.3">
      <c r="A84" s="2">
        <v>46269</v>
      </c>
      <c r="B84" t="s">
        <v>55</v>
      </c>
      <c r="C84" t="s">
        <v>56</v>
      </c>
      <c r="D84">
        <v>5</v>
      </c>
      <c r="E84" t="s">
        <v>1</v>
      </c>
      <c r="F84" t="s">
        <v>27</v>
      </c>
      <c r="G84" t="s">
        <v>19</v>
      </c>
      <c r="H84">
        <f>IF(COUNTIFS($A$2:A84,A84,$B$2:B84,B84,$E$2:E84,E84)=1,1,0)</f>
        <v>1</v>
      </c>
      <c r="I84">
        <f>IF(COUNTIFS($A$2:A84,A84,$E$2:E84,E84)=1,1,0)</f>
        <v>0</v>
      </c>
      <c r="J84">
        <f>IF(COUNTIFS($B$2:B84,B84)=1,1,0)</f>
        <v>0</v>
      </c>
      <c r="K84" s="2">
        <v>46267</v>
      </c>
    </row>
    <row r="85" spans="1:11" x14ac:dyDescent="0.3">
      <c r="A85" s="2">
        <v>46269</v>
      </c>
      <c r="B85" t="s">
        <v>63</v>
      </c>
      <c r="C85" t="s">
        <v>64</v>
      </c>
      <c r="D85">
        <v>0.33300000000000002</v>
      </c>
      <c r="E85" t="s">
        <v>2</v>
      </c>
      <c r="F85" t="s">
        <v>20</v>
      </c>
      <c r="G85" t="s">
        <v>19</v>
      </c>
      <c r="H85">
        <f>IF(COUNTIFS($A$2:A85,A85,$B$2:B85,B85,$E$2:E85,E85)=1,1,0)</f>
        <v>1</v>
      </c>
      <c r="I85">
        <f>IF(COUNTIFS($A$2:A85,A85,$E$2:E85,E85)=1,1,0)</f>
        <v>0</v>
      </c>
      <c r="J85">
        <f>IF(COUNTIFS($B$2:B85,B85)=1,1,0)</f>
        <v>1</v>
      </c>
      <c r="K85" s="2">
        <v>46268</v>
      </c>
    </row>
    <row r="86" spans="1:11" x14ac:dyDescent="0.3">
      <c r="A86" s="2">
        <v>46269</v>
      </c>
      <c r="B86" t="s">
        <v>61</v>
      </c>
      <c r="C86" t="s">
        <v>62</v>
      </c>
      <c r="D86">
        <v>6.8</v>
      </c>
      <c r="E86" t="s">
        <v>3</v>
      </c>
      <c r="F86" t="s">
        <v>27</v>
      </c>
      <c r="G86" t="s">
        <v>19</v>
      </c>
      <c r="H86">
        <f>IF(COUNTIFS($A$2:A86,A86,$B$2:B86,B86,$E$2:E86,E86)=1,1,0)</f>
        <v>1</v>
      </c>
      <c r="I86">
        <f>IF(COUNTIFS($A$2:A86,A86,$E$2:E86,E86)=1,1,0)</f>
        <v>0</v>
      </c>
      <c r="J86">
        <f>IF(COUNTIFS($B$2:B86,B86)=1,1,0)</f>
        <v>0</v>
      </c>
      <c r="K86" s="2">
        <v>46267</v>
      </c>
    </row>
    <row r="87" spans="1:11" x14ac:dyDescent="0.3">
      <c r="A87" s="2">
        <v>46269</v>
      </c>
      <c r="B87" t="s">
        <v>61</v>
      </c>
      <c r="C87" t="s">
        <v>62</v>
      </c>
      <c r="D87">
        <v>6</v>
      </c>
      <c r="E87" t="s">
        <v>4</v>
      </c>
      <c r="F87" t="s">
        <v>27</v>
      </c>
      <c r="G87" t="s">
        <v>19</v>
      </c>
      <c r="H87">
        <f>IF(COUNTIFS($A$2:A87,A87,$B$2:B87,B87,$E$2:E87,E87)=1,1,0)</f>
        <v>1</v>
      </c>
      <c r="I87">
        <f>IF(COUNTIFS($A$2:A87,A87,$E$2:E87,E87)=1,1,0)</f>
        <v>0</v>
      </c>
      <c r="J87">
        <f>IF(COUNTIFS($B$2:B87,B87)=1,1,0)</f>
        <v>0</v>
      </c>
      <c r="K87" s="2">
        <v>46267</v>
      </c>
    </row>
    <row r="88" spans="1:11" x14ac:dyDescent="0.3">
      <c r="A88" s="2">
        <v>46269</v>
      </c>
      <c r="B88" t="s">
        <v>48</v>
      </c>
      <c r="C88" t="s">
        <v>49</v>
      </c>
      <c r="D88">
        <v>0.5</v>
      </c>
      <c r="E88" t="s">
        <v>5</v>
      </c>
      <c r="F88" t="s">
        <v>24</v>
      </c>
      <c r="G88" t="s">
        <v>19</v>
      </c>
      <c r="H88">
        <f>IF(COUNTIFS($A$2:A88,A88,$B$2:B88,B88,$E$2:E88,E88)=1,1,0)</f>
        <v>0</v>
      </c>
      <c r="I88">
        <f>IF(COUNTIFS($A$2:A88,A88,$E$2:E88,E88)=1,1,0)</f>
        <v>0</v>
      </c>
      <c r="J88">
        <f>IF(COUNTIFS($B$2:B88,B88)=1,1,0)</f>
        <v>0</v>
      </c>
      <c r="K88" s="2">
        <v>46266</v>
      </c>
    </row>
    <row r="89" spans="1:11" x14ac:dyDescent="0.3">
      <c r="A89" s="2">
        <v>46269</v>
      </c>
      <c r="B89" t="s">
        <v>61</v>
      </c>
      <c r="C89" t="s">
        <v>62</v>
      </c>
      <c r="D89">
        <v>5.75</v>
      </c>
      <c r="E89" t="s">
        <v>6</v>
      </c>
      <c r="F89" t="s">
        <v>27</v>
      </c>
      <c r="G89" t="s">
        <v>19</v>
      </c>
      <c r="H89">
        <f>IF(COUNTIFS($A$2:A89,A89,$B$2:B89,B89,$E$2:E89,E89)=1,1,0)</f>
        <v>1</v>
      </c>
      <c r="I89">
        <f>IF(COUNTIFS($A$2:A89,A89,$E$2:E89,E89)=1,1,0)</f>
        <v>0</v>
      </c>
      <c r="J89">
        <f>IF(COUNTIFS($B$2:B89,B89)=1,1,0)</f>
        <v>0</v>
      </c>
      <c r="K89" s="2">
        <v>46267</v>
      </c>
    </row>
    <row r="90" spans="1:11" x14ac:dyDescent="0.3">
      <c r="A90" s="2">
        <v>46269</v>
      </c>
      <c r="B90" t="s">
        <v>55</v>
      </c>
      <c r="C90" t="s">
        <v>56</v>
      </c>
      <c r="D90">
        <v>6.8</v>
      </c>
      <c r="E90" t="s">
        <v>7</v>
      </c>
      <c r="F90" t="s">
        <v>27</v>
      </c>
      <c r="G90" t="s">
        <v>19</v>
      </c>
      <c r="H90">
        <f>IF(COUNTIFS($A$2:A90,A90,$B$2:B90,B90,$E$2:E90,E90)=1,1,0)</f>
        <v>1</v>
      </c>
      <c r="I90">
        <f>IF(COUNTIFS($A$2:A90,A90,$E$2:E90,E90)=1,1,0)</f>
        <v>0</v>
      </c>
      <c r="J90">
        <f>IF(COUNTIFS($B$2:B90,B90)=1,1,0)</f>
        <v>0</v>
      </c>
      <c r="K90" s="2">
        <v>46267</v>
      </c>
    </row>
    <row r="91" spans="1:11" x14ac:dyDescent="0.3">
      <c r="A91" s="2">
        <v>46269</v>
      </c>
      <c r="B91" t="s">
        <v>65</v>
      </c>
      <c r="C91" t="s">
        <v>66</v>
      </c>
      <c r="D91">
        <v>0.41699999999999998</v>
      </c>
      <c r="E91" t="s">
        <v>2</v>
      </c>
      <c r="F91" t="s">
        <v>27</v>
      </c>
      <c r="G91" t="s">
        <v>19</v>
      </c>
      <c r="H91">
        <f>IF(COUNTIFS($A$2:A91,A91,$B$2:B91,B91,$E$2:E91,E91)=1,1,0)</f>
        <v>1</v>
      </c>
      <c r="I91">
        <f>IF(COUNTIFS($A$2:A91,A91,$E$2:E91,E91)=1,1,0)</f>
        <v>0</v>
      </c>
      <c r="J91">
        <f>IF(COUNTIFS($B$2:B91,B91)=1,1,0)</f>
        <v>1</v>
      </c>
      <c r="K91" s="2">
        <v>46268</v>
      </c>
    </row>
    <row r="92" spans="1:11" x14ac:dyDescent="0.3">
      <c r="A92" s="2">
        <v>46269</v>
      </c>
      <c r="B92" t="s">
        <v>55</v>
      </c>
      <c r="C92" t="s">
        <v>56</v>
      </c>
      <c r="D92">
        <v>6.3330000000000002</v>
      </c>
      <c r="E92" t="s">
        <v>5</v>
      </c>
      <c r="F92" t="s">
        <v>27</v>
      </c>
      <c r="G92" t="s">
        <v>19</v>
      </c>
      <c r="H92">
        <f>IF(COUNTIFS($A$2:A92,A92,$B$2:B92,B92,$E$2:E92,E92)=1,1,0)</f>
        <v>1</v>
      </c>
      <c r="I92">
        <f>IF(COUNTIFS($A$2:A92,A92,$E$2:E92,E92)=1,1,0)</f>
        <v>0</v>
      </c>
      <c r="J92">
        <f>IF(COUNTIFS($B$2:B92,B92)=1,1,0)</f>
        <v>0</v>
      </c>
      <c r="K92" s="2">
        <v>46267</v>
      </c>
    </row>
    <row r="93" spans="1:11" x14ac:dyDescent="0.3">
      <c r="A93" s="2">
        <v>46269</v>
      </c>
      <c r="B93" t="s">
        <v>50</v>
      </c>
      <c r="C93" t="s">
        <v>51</v>
      </c>
      <c r="D93">
        <v>5</v>
      </c>
      <c r="E93" t="s">
        <v>2</v>
      </c>
      <c r="F93" t="s">
        <v>24</v>
      </c>
      <c r="G93" t="s">
        <v>19</v>
      </c>
      <c r="H93">
        <f>IF(COUNTIFS($A$2:A93,A93,$B$2:B93,B93,$E$2:E93,E93)=1,1,0)</f>
        <v>1</v>
      </c>
      <c r="I93">
        <f>IF(COUNTIFS($A$2:A93,A93,$E$2:E93,E93)=1,1,0)</f>
        <v>0</v>
      </c>
      <c r="J93">
        <f>IF(COUNTIFS($B$2:B93,B93)=1,1,0)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58033-298A-4329-A3B5-3DB6C21B2D67}">
  <sheetPr codeName="Sheet4"/>
  <dimension ref="A1:F127"/>
  <sheetViews>
    <sheetView topLeftCell="A45" workbookViewId="0">
      <selection activeCell="I15" sqref="I15"/>
    </sheetView>
  </sheetViews>
  <sheetFormatPr defaultRowHeight="14.4" x14ac:dyDescent="0.3"/>
  <cols>
    <col min="1" max="1" width="14.77734375" customWidth="1"/>
    <col min="2" max="2" width="52.77734375" customWidth="1"/>
    <col min="3" max="3" width="16.77734375" customWidth="1"/>
    <col min="4" max="4" width="13.77734375" customWidth="1"/>
    <col min="5" max="5" width="11.77734375" customWidth="1"/>
    <col min="6" max="6" width="24.77734375" customWidth="1"/>
  </cols>
  <sheetData>
    <row r="1" spans="1:6" ht="30" customHeight="1" x14ac:dyDescent="0.4">
      <c r="A1" s="8" t="s">
        <v>67</v>
      </c>
      <c r="B1" s="9"/>
      <c r="C1" s="9"/>
      <c r="D1" s="9"/>
      <c r="E1" s="9"/>
      <c r="F1" s="9"/>
    </row>
    <row r="2" spans="1:6" ht="18" customHeight="1" x14ac:dyDescent="0.3">
      <c r="A2" s="11" t="s">
        <v>97</v>
      </c>
      <c r="B2" s="9"/>
      <c r="C2" s="9"/>
      <c r="D2" s="9"/>
      <c r="E2" s="9"/>
      <c r="F2" s="9"/>
    </row>
    <row r="4" spans="1:6" ht="19.5" customHeight="1" x14ac:dyDescent="0.3">
      <c r="A4" s="12" t="s">
        <v>70</v>
      </c>
      <c r="B4" s="9"/>
      <c r="C4" s="9"/>
      <c r="D4" s="9"/>
      <c r="E4" s="9"/>
      <c r="F4" s="9"/>
    </row>
    <row r="5" spans="1:6" x14ac:dyDescent="0.3">
      <c r="A5" s="3" t="s">
        <v>9</v>
      </c>
      <c r="B5" s="3" t="s">
        <v>10</v>
      </c>
      <c r="C5" s="3" t="s">
        <v>68</v>
      </c>
      <c r="D5" s="3" t="s">
        <v>69</v>
      </c>
      <c r="E5" s="3" t="s">
        <v>14</v>
      </c>
      <c r="F5" s="3" t="s">
        <v>13</v>
      </c>
    </row>
    <row r="6" spans="1:6" x14ac:dyDescent="0.3">
      <c r="A6" s="5" t="s">
        <v>48</v>
      </c>
      <c r="B6" s="5" t="s">
        <v>49</v>
      </c>
      <c r="C6" s="5">
        <f>SUMPRODUCT((Data!$A$2:$A$93=DATE(2026,9,1))*(Data!$B$2:$B$93="CWL-2956")*Data!$H$2:$H$93)</f>
        <v>7</v>
      </c>
      <c r="D6" s="5">
        <f>ROUND(SUMIFS(Data!$D:$D,Data!$A:$A,DATE(2026,9,1),Data!$B:$B,"CWL-2956"),2)</f>
        <v>7.5</v>
      </c>
      <c r="E6" s="5" t="s">
        <v>19</v>
      </c>
      <c r="F6" s="5" t="s">
        <v>24</v>
      </c>
    </row>
    <row r="7" spans="1:6" x14ac:dyDescent="0.3">
      <c r="A7" t="s">
        <v>40</v>
      </c>
      <c r="B7" t="s">
        <v>41</v>
      </c>
      <c r="C7">
        <f>SUMPRODUCT((Data!$A$2:$A$93=DATE(2026,9,1))*(Data!$B$2:$B$93="CWL-2952")*Data!$H$2:$H$93)</f>
        <v>1</v>
      </c>
      <c r="D7">
        <f>ROUND(SUMIFS(Data!$D:$D,Data!$A:$A,DATE(2026,9,1),Data!$B:$B,"CWL-2952"),2)</f>
        <v>0.25</v>
      </c>
      <c r="E7" t="s">
        <v>19</v>
      </c>
      <c r="F7" t="s">
        <v>27</v>
      </c>
    </row>
    <row r="8" spans="1:6" x14ac:dyDescent="0.3">
      <c r="A8" t="s">
        <v>42</v>
      </c>
      <c r="B8" t="s">
        <v>43</v>
      </c>
      <c r="C8">
        <f>SUMPRODUCT((Data!$A$2:$A$93=DATE(2026,9,1))*(Data!$B$2:$B$93="CWL-2938")*Data!$H$2:$H$93)</f>
        <v>2</v>
      </c>
      <c r="D8">
        <f>ROUND(SUMIFS(Data!$D:$D,Data!$A:$A,DATE(2026,9,1),Data!$B:$B,"CWL-2938"),2)</f>
        <v>8.83</v>
      </c>
      <c r="E8" t="s">
        <v>19</v>
      </c>
      <c r="F8" t="s">
        <v>27</v>
      </c>
    </row>
    <row r="9" spans="1:6" x14ac:dyDescent="0.3">
      <c r="A9" t="s">
        <v>32</v>
      </c>
      <c r="B9" t="s">
        <v>33</v>
      </c>
      <c r="C9">
        <f>SUMPRODUCT((Data!$A$2:$A$93=DATE(2026,9,1))*(Data!$B$2:$B$93="CWL-2949")*Data!$H$2:$H$93)</f>
        <v>1</v>
      </c>
      <c r="D9">
        <f>ROUND(SUMIFS(Data!$D:$D,Data!$A:$A,DATE(2026,9,1),Data!$B:$B,"CWL-2949"),2)</f>
        <v>2</v>
      </c>
      <c r="E9" t="s">
        <v>19</v>
      </c>
      <c r="F9" t="s">
        <v>27</v>
      </c>
    </row>
    <row r="10" spans="1:6" x14ac:dyDescent="0.3">
      <c r="A10" t="s">
        <v>25</v>
      </c>
      <c r="B10" t="s">
        <v>26</v>
      </c>
      <c r="C10">
        <f>SUMPRODUCT((Data!$A$2:$A$93=DATE(2026,9,1))*(Data!$B$2:$B$93="CWL-2910")*Data!$H$2:$H$93)</f>
        <v>1</v>
      </c>
      <c r="D10">
        <f>ROUND(SUMIFS(Data!$D:$D,Data!$A:$A,DATE(2026,9,1),Data!$B:$B,"CWL-2910"),2)</f>
        <v>0.33</v>
      </c>
      <c r="E10" t="s">
        <v>19</v>
      </c>
      <c r="F10" t="s">
        <v>20</v>
      </c>
    </row>
    <row r="11" spans="1:6" x14ac:dyDescent="0.3">
      <c r="A11" t="s">
        <v>34</v>
      </c>
      <c r="B11" t="s">
        <v>35</v>
      </c>
      <c r="C11">
        <f>SUMPRODUCT((Data!$A$2:$A$93=DATE(2026,9,1))*(Data!$B$2:$B$93="CWL-2946")*Data!$H$2:$H$93)</f>
        <v>1</v>
      </c>
      <c r="D11">
        <f>ROUND(SUMIFS(Data!$D:$D,Data!$A:$A,DATE(2026,9,1),Data!$B:$B,"CWL-2946"),2)</f>
        <v>0.5</v>
      </c>
      <c r="E11" t="s">
        <v>19</v>
      </c>
      <c r="F11" t="s">
        <v>27</v>
      </c>
    </row>
    <row r="12" spans="1:6" x14ac:dyDescent="0.3">
      <c r="A12" t="s">
        <v>44</v>
      </c>
      <c r="B12" t="s">
        <v>45</v>
      </c>
      <c r="C12">
        <f>SUMPRODUCT((Data!$A$2:$A$93=DATE(2026,9,1))*(Data!$B$2:$B$93="CWL-2953")*Data!$H$2:$H$93)</f>
        <v>1</v>
      </c>
      <c r="D12">
        <f>ROUND(SUMIFS(Data!$D:$D,Data!$A:$A,DATE(2026,9,1),Data!$B:$B,"CWL-2953"),2)</f>
        <v>0.5</v>
      </c>
      <c r="E12" t="s">
        <v>19</v>
      </c>
      <c r="F12" t="s">
        <v>20</v>
      </c>
    </row>
    <row r="13" spans="1:6" x14ac:dyDescent="0.3">
      <c r="A13" t="s">
        <v>30</v>
      </c>
      <c r="B13" t="s">
        <v>31</v>
      </c>
      <c r="C13">
        <f>SUMPRODUCT((Data!$A$2:$A$93=DATE(2026,9,1))*(Data!$B$2:$B$93="CWL-2942")*Data!$H$2:$H$93)</f>
        <v>1</v>
      </c>
      <c r="D13">
        <f>ROUND(SUMIFS(Data!$D:$D,Data!$A:$A,DATE(2026,9,1),Data!$B:$B,"CWL-2942"),2)</f>
        <v>0.33</v>
      </c>
      <c r="E13" t="s">
        <v>19</v>
      </c>
      <c r="F13" t="s">
        <v>20</v>
      </c>
    </row>
    <row r="14" spans="1:6" ht="19.5" customHeight="1" x14ac:dyDescent="0.3">
      <c r="A14" t="s">
        <v>22</v>
      </c>
      <c r="B14" t="s">
        <v>23</v>
      </c>
      <c r="C14">
        <f>SUMPRODUCT((Data!$A$2:$A$93=DATE(2026,9,1))*(Data!$B$2:$B$93="CWL-2464")*Data!$H$2:$H$93)</f>
        <v>5</v>
      </c>
      <c r="D14">
        <f>ROUND(SUMIFS(Data!$D:$D,Data!$A:$A,DATE(2026,9,1),Data!$B:$B,"CWL-2464"),2)</f>
        <v>16.170000000000002</v>
      </c>
      <c r="E14" t="s">
        <v>21</v>
      </c>
      <c r="F14" t="s">
        <v>24</v>
      </c>
    </row>
    <row r="15" spans="1:6" x14ac:dyDescent="0.3">
      <c r="A15" t="s">
        <v>36</v>
      </c>
      <c r="B15" t="s">
        <v>37</v>
      </c>
      <c r="C15">
        <f>SUMPRODUCT((Data!$A$2:$A$93=DATE(2026,9,1))*(Data!$B$2:$B$93="CWL-2947")*Data!$H$2:$H$93)</f>
        <v>1</v>
      </c>
      <c r="D15">
        <f>ROUND(SUMIFS(Data!$D:$D,Data!$A:$A,DATE(2026,9,1),Data!$B:$B,"CWL-2947"),2)</f>
        <v>0.75</v>
      </c>
      <c r="E15" t="s">
        <v>19</v>
      </c>
      <c r="F15" t="s">
        <v>27</v>
      </c>
    </row>
    <row r="16" spans="1:6" x14ac:dyDescent="0.3">
      <c r="A16" t="s">
        <v>46</v>
      </c>
      <c r="B16" t="s">
        <v>47</v>
      </c>
      <c r="C16">
        <f>SUMPRODUCT((Data!$A$2:$A$93=DATE(2026,9,1))*(Data!$B$2:$B$93="CWL-2954")*Data!$H$2:$H$93)</f>
        <v>1</v>
      </c>
      <c r="D16">
        <f>ROUND(SUMIFS(Data!$D:$D,Data!$A:$A,DATE(2026,9,1),Data!$B:$B,"CWL-2954"),2)</f>
        <v>0.67</v>
      </c>
      <c r="E16" t="s">
        <v>19</v>
      </c>
      <c r="F16" t="s">
        <v>27</v>
      </c>
    </row>
    <row r="17" spans="1:6" x14ac:dyDescent="0.3">
      <c r="A17" t="s">
        <v>38</v>
      </c>
      <c r="B17" t="s">
        <v>39</v>
      </c>
      <c r="C17">
        <f>SUMPRODUCT((Data!$A$2:$A$93=DATE(2026,9,1))*(Data!$B$2:$B$93="CWL-2948")*Data!$H$2:$H$93)</f>
        <v>1</v>
      </c>
      <c r="D17">
        <f>ROUND(SUMIFS(Data!$D:$D,Data!$A:$A,DATE(2026,9,1),Data!$B:$B,"CWL-2948"),2)</f>
        <v>3.5</v>
      </c>
      <c r="E17" t="s">
        <v>19</v>
      </c>
      <c r="F17" t="s">
        <v>27</v>
      </c>
    </row>
    <row r="18" spans="1:6" x14ac:dyDescent="0.3">
      <c r="A18" t="s">
        <v>50</v>
      </c>
      <c r="B18" t="s">
        <v>51</v>
      </c>
      <c r="C18">
        <f>SUMPRODUCT((Data!$A$2:$A$93=DATE(2026,9,1))*(Data!$B$2:$B$93="CWL-2955")*Data!$H$2:$H$93)</f>
        <v>2</v>
      </c>
      <c r="D18">
        <f>ROUND(SUMIFS(Data!$D:$D,Data!$A:$A,DATE(2026,9,1),Data!$B:$B,"CWL-2955"),2)</f>
        <v>2.25</v>
      </c>
      <c r="E18" t="s">
        <v>19</v>
      </c>
      <c r="F18" t="s">
        <v>24</v>
      </c>
    </row>
    <row r="19" spans="1:6" x14ac:dyDescent="0.3">
      <c r="A19" s="10" t="str">
        <f>"Day Total ("&amp;COUNTA(A6:A18)&amp;" tickets)"</f>
        <v>Day Total (13 tickets)</v>
      </c>
      <c r="B19" s="10"/>
      <c r="C19" s="4"/>
      <c r="D19" s="4">
        <f>ROUND(SUM(D6:D18),2)</f>
        <v>43.58</v>
      </c>
      <c r="E19" s="4"/>
      <c r="F19" s="4"/>
    </row>
    <row r="21" spans="1:6" ht="19.5" customHeight="1" x14ac:dyDescent="0.3">
      <c r="A21" s="12" t="s">
        <v>94</v>
      </c>
      <c r="B21" s="9"/>
      <c r="C21" s="9"/>
      <c r="D21" s="9"/>
      <c r="E21" s="9"/>
      <c r="F21" s="9"/>
    </row>
    <row r="22" spans="1:6" x14ac:dyDescent="0.3">
      <c r="A22" s="3" t="s">
        <v>9</v>
      </c>
      <c r="B22" s="3" t="s">
        <v>10</v>
      </c>
      <c r="C22" s="3" t="s">
        <v>68</v>
      </c>
      <c r="D22" s="3" t="s">
        <v>69</v>
      </c>
      <c r="E22" s="3" t="s">
        <v>14</v>
      </c>
      <c r="F22" s="3" t="s">
        <v>13</v>
      </c>
    </row>
    <row r="23" spans="1:6" ht="19.5" customHeight="1" x14ac:dyDescent="0.3">
      <c r="A23" t="s">
        <v>48</v>
      </c>
      <c r="B23" t="s">
        <v>49</v>
      </c>
      <c r="C23">
        <f>SUMPRODUCT((Data!$A$2:$A$93=DATE(2026,9,2))*(Data!$B$2:$B$93="CWL-2956")*Data!$H$2:$H$93)</f>
        <v>6</v>
      </c>
      <c r="D23">
        <f>ROUND(SUMIFS(Data!$D:$D,Data!$A:$A,DATE(2026,9,2),Data!$B:$B,"CWL-2956"),2)</f>
        <v>6.5</v>
      </c>
      <c r="E23" t="s">
        <v>19</v>
      </c>
      <c r="F23" t="s">
        <v>24</v>
      </c>
    </row>
    <row r="24" spans="1:6" x14ac:dyDescent="0.3">
      <c r="A24" t="s">
        <v>52</v>
      </c>
      <c r="B24" t="s">
        <v>53</v>
      </c>
      <c r="C24">
        <f>SUMPRODUCT((Data!$A$2:$A$93=DATE(2026,9,2))*(Data!$B$2:$B$93="CWL-2885")*Data!$H$2:$H$93)</f>
        <v>1</v>
      </c>
      <c r="D24">
        <f>ROUND(SUMIFS(Data!$D:$D,Data!$A:$A,DATE(2026,9,2),Data!$B:$B,"CWL-2885"),2)</f>
        <v>0.25</v>
      </c>
      <c r="E24" t="s">
        <v>19</v>
      </c>
      <c r="F24" t="s">
        <v>54</v>
      </c>
    </row>
    <row r="25" spans="1:6" x14ac:dyDescent="0.3">
      <c r="A25" t="s">
        <v>42</v>
      </c>
      <c r="B25" t="s">
        <v>43</v>
      </c>
      <c r="C25">
        <f>SUMPRODUCT((Data!$A$2:$A$93=DATE(2026,9,2))*(Data!$B$2:$B$93="CWL-2938")*Data!$H$2:$H$93)</f>
        <v>2</v>
      </c>
      <c r="D25">
        <f>ROUND(SUMIFS(Data!$D:$D,Data!$A:$A,DATE(2026,9,2),Data!$B:$B,"CWL-2938"),2)</f>
        <v>10.67</v>
      </c>
      <c r="E25" t="s">
        <v>19</v>
      </c>
      <c r="F25" t="s">
        <v>27</v>
      </c>
    </row>
    <row r="26" spans="1:6" x14ac:dyDescent="0.3">
      <c r="A26" t="s">
        <v>32</v>
      </c>
      <c r="B26" t="s">
        <v>33</v>
      </c>
      <c r="C26">
        <f>SUMPRODUCT((Data!$A$2:$A$93=DATE(2026,9,2))*(Data!$B$2:$B$93="CWL-2949")*Data!$H$2:$H$93)</f>
        <v>1</v>
      </c>
      <c r="D26">
        <f>ROUND(SUMIFS(Data!$D:$D,Data!$A:$A,DATE(2026,9,2),Data!$B:$B,"CWL-2949"),2)</f>
        <v>1.5</v>
      </c>
      <c r="E26" t="s">
        <v>19</v>
      </c>
      <c r="F26" t="s">
        <v>27</v>
      </c>
    </row>
    <row r="27" spans="1:6" x14ac:dyDescent="0.3">
      <c r="A27" t="s">
        <v>25</v>
      </c>
      <c r="B27" t="s">
        <v>26</v>
      </c>
      <c r="C27">
        <f>SUMPRODUCT((Data!$A$2:$A$93=DATE(2026,9,2))*(Data!$B$2:$B$93="CWL-2910")*Data!$H$2:$H$93)</f>
        <v>1</v>
      </c>
      <c r="D27">
        <f>ROUND(SUMIFS(Data!$D:$D,Data!$A:$A,DATE(2026,9,2),Data!$B:$B,"CWL-2910"),2)</f>
        <v>0.25</v>
      </c>
      <c r="E27" t="s">
        <v>19</v>
      </c>
      <c r="F27" t="s">
        <v>20</v>
      </c>
    </row>
    <row r="28" spans="1:6" x14ac:dyDescent="0.3">
      <c r="A28" t="s">
        <v>34</v>
      </c>
      <c r="B28" t="s">
        <v>35</v>
      </c>
      <c r="C28">
        <f>SUMPRODUCT((Data!$A$2:$A$93=DATE(2026,9,2))*(Data!$B$2:$B$93="CWL-2946")*Data!$H$2:$H$93)</f>
        <v>1</v>
      </c>
      <c r="D28">
        <f>ROUND(SUMIFS(Data!$D:$D,Data!$A:$A,DATE(2026,9,2),Data!$B:$B,"CWL-2946"),2)</f>
        <v>0.5</v>
      </c>
      <c r="E28" t="s">
        <v>19</v>
      </c>
      <c r="F28" t="s">
        <v>27</v>
      </c>
    </row>
    <row r="29" spans="1:6" x14ac:dyDescent="0.3">
      <c r="A29" t="s">
        <v>50</v>
      </c>
      <c r="B29" t="s">
        <v>51</v>
      </c>
      <c r="C29">
        <f>SUMPRODUCT((Data!$A$2:$A$93=DATE(2026,9,2))*(Data!$B$2:$B$93="CWL-2955")*Data!$H$2:$H$93)</f>
        <v>4</v>
      </c>
      <c r="D29">
        <f>ROUND(SUMIFS(Data!$D:$D,Data!$A:$A,DATE(2026,9,2),Data!$B:$B,"CWL-2955"),2)</f>
        <v>13.17</v>
      </c>
      <c r="E29" t="s">
        <v>19</v>
      </c>
      <c r="F29" t="s">
        <v>24</v>
      </c>
    </row>
    <row r="30" spans="1:6" x14ac:dyDescent="0.3">
      <c r="A30" t="s">
        <v>22</v>
      </c>
      <c r="B30" t="s">
        <v>23</v>
      </c>
      <c r="C30">
        <f>SUMPRODUCT((Data!$A$2:$A$93=DATE(2026,9,2))*(Data!$B$2:$B$93="CWL-2464")*Data!$H$2:$H$93)</f>
        <v>2</v>
      </c>
      <c r="D30">
        <f>ROUND(SUMIFS(Data!$D:$D,Data!$A:$A,DATE(2026,9,2),Data!$B:$B,"CWL-2464"),2)</f>
        <v>6.4</v>
      </c>
      <c r="E30" t="s">
        <v>21</v>
      </c>
      <c r="F30" t="s">
        <v>24</v>
      </c>
    </row>
    <row r="31" spans="1:6" x14ac:dyDescent="0.3">
      <c r="A31" s="10" t="str">
        <f>"Day Total ("&amp;COUNTA(A23:A30)&amp;" tickets)"</f>
        <v>Day Total (8 tickets)</v>
      </c>
      <c r="B31" s="10"/>
      <c r="C31" s="4"/>
      <c r="D31" s="4">
        <f>ROUND(SUM(D23:D30),2)</f>
        <v>39.24</v>
      </c>
      <c r="E31" s="4"/>
      <c r="F31" s="4"/>
    </row>
    <row r="33" spans="1:6" ht="19.5" customHeight="1" x14ac:dyDescent="0.3">
      <c r="A33" s="12" t="s">
        <v>95</v>
      </c>
      <c r="B33" s="9"/>
      <c r="C33" s="9"/>
      <c r="D33" s="9"/>
      <c r="E33" s="9"/>
      <c r="F33" s="9"/>
    </row>
    <row r="34" spans="1:6" ht="19.5" customHeight="1" x14ac:dyDescent="0.3">
      <c r="A34" s="3" t="s">
        <v>9</v>
      </c>
      <c r="B34" s="3" t="s">
        <v>10</v>
      </c>
      <c r="C34" s="3" t="s">
        <v>68</v>
      </c>
      <c r="D34" s="3" t="s">
        <v>69</v>
      </c>
      <c r="E34" s="3" t="s">
        <v>14</v>
      </c>
      <c r="F34" s="3" t="s">
        <v>13</v>
      </c>
    </row>
    <row r="35" spans="1:6" x14ac:dyDescent="0.3">
      <c r="A35" t="s">
        <v>55</v>
      </c>
      <c r="B35" t="s">
        <v>56</v>
      </c>
      <c r="C35">
        <f>SUMPRODUCT((Data!$A$2:$A$93=DATE(2026,9,3))*(Data!$B$2:$B$93="CWL-2958")*Data!$H$2:$H$93)</f>
        <v>3</v>
      </c>
      <c r="D35">
        <f>ROUND(SUMIFS(Data!$D:$D,Data!$A:$A,DATE(2026,9,3),Data!$B:$B,"CWL-2958"),2)</f>
        <v>17</v>
      </c>
      <c r="E35" t="s">
        <v>19</v>
      </c>
      <c r="F35" t="s">
        <v>27</v>
      </c>
    </row>
    <row r="36" spans="1:6" x14ac:dyDescent="0.3">
      <c r="A36" t="s">
        <v>48</v>
      </c>
      <c r="B36" t="s">
        <v>49</v>
      </c>
      <c r="C36">
        <f>SUMPRODUCT((Data!$A$2:$A$93=DATE(2026,9,3))*(Data!$B$2:$B$93="CWL-2956")*Data!$H$2:$H$93)</f>
        <v>7</v>
      </c>
      <c r="D36">
        <f>ROUND(SUMIFS(Data!$D:$D,Data!$A:$A,DATE(2026,9,3),Data!$B:$B,"CWL-2956"),2)</f>
        <v>7.5</v>
      </c>
      <c r="E36" t="s">
        <v>19</v>
      </c>
      <c r="F36" t="s">
        <v>24</v>
      </c>
    </row>
    <row r="37" spans="1:6" x14ac:dyDescent="0.3">
      <c r="A37" t="s">
        <v>34</v>
      </c>
      <c r="B37" t="s">
        <v>35</v>
      </c>
      <c r="C37">
        <f>SUMPRODUCT((Data!$A$2:$A$93=DATE(2026,9,3))*(Data!$B$2:$B$93="CWL-2946")*Data!$H$2:$H$93)</f>
        <v>1</v>
      </c>
      <c r="D37">
        <f>ROUND(SUMIFS(Data!$D:$D,Data!$A:$A,DATE(2026,9,3),Data!$B:$B,"CWL-2946"),2)</f>
        <v>0.5</v>
      </c>
      <c r="E37" t="s">
        <v>19</v>
      </c>
      <c r="F37" t="s">
        <v>27</v>
      </c>
    </row>
    <row r="38" spans="1:6" x14ac:dyDescent="0.3">
      <c r="A38" t="s">
        <v>57</v>
      </c>
      <c r="B38" t="s">
        <v>58</v>
      </c>
      <c r="C38">
        <f>SUMPRODUCT((Data!$A$2:$A$93=DATE(2026,9,3))*(Data!$B$2:$B$93="CWL-2959")*Data!$H$2:$H$93)</f>
        <v>2</v>
      </c>
      <c r="D38">
        <f>ROUND(SUMIFS(Data!$D:$D,Data!$A:$A,DATE(2026,9,3),Data!$B:$B,"CWL-2959"),2)</f>
        <v>1.25</v>
      </c>
      <c r="E38" t="s">
        <v>19</v>
      </c>
      <c r="F38" t="s">
        <v>20</v>
      </c>
    </row>
    <row r="39" spans="1:6" x14ac:dyDescent="0.3">
      <c r="A39" t="s">
        <v>59</v>
      </c>
      <c r="B39" t="s">
        <v>60</v>
      </c>
      <c r="C39">
        <f>SUMPRODUCT((Data!$A$2:$A$93=DATE(2026,9,3))*(Data!$B$2:$B$93="CWL-2926")*Data!$H$2:$H$93)</f>
        <v>1</v>
      </c>
      <c r="D39">
        <f>ROUND(SUMIFS(Data!$D:$D,Data!$A:$A,DATE(2026,9,3),Data!$B:$B,"CWL-2926"),2)</f>
        <v>0.17</v>
      </c>
      <c r="E39" t="s">
        <v>19</v>
      </c>
      <c r="F39" t="s">
        <v>27</v>
      </c>
    </row>
    <row r="40" spans="1:6" x14ac:dyDescent="0.3">
      <c r="A40" t="s">
        <v>28</v>
      </c>
      <c r="B40" t="s">
        <v>29</v>
      </c>
      <c r="C40">
        <f>SUMPRODUCT((Data!$A$2:$A$93=DATE(2026,9,3))*(Data!$B$2:$B$93="CWL-2943")*Data!$H$2:$H$93)</f>
        <v>1</v>
      </c>
      <c r="D40">
        <f>ROUND(SUMIFS(Data!$D:$D,Data!$A:$A,DATE(2026,9,3),Data!$B:$B,"CWL-2943"),2)</f>
        <v>0.33</v>
      </c>
      <c r="E40" t="s">
        <v>19</v>
      </c>
      <c r="F40" t="s">
        <v>20</v>
      </c>
    </row>
    <row r="41" spans="1:6" x14ac:dyDescent="0.3">
      <c r="A41" t="s">
        <v>50</v>
      </c>
      <c r="B41" t="s">
        <v>51</v>
      </c>
      <c r="C41">
        <f>SUMPRODUCT((Data!$A$2:$A$93=DATE(2026,9,3))*(Data!$B$2:$B$93="CWL-2955")*Data!$H$2:$H$93)</f>
        <v>4</v>
      </c>
      <c r="D41">
        <f>ROUND(SUMIFS(Data!$D:$D,Data!$A:$A,DATE(2026,9,3),Data!$B:$B,"CWL-2955"),2)</f>
        <v>10.92</v>
      </c>
      <c r="E41" t="s">
        <v>19</v>
      </c>
      <c r="F41" t="s">
        <v>24</v>
      </c>
    </row>
    <row r="42" spans="1:6" x14ac:dyDescent="0.3">
      <c r="A42" t="s">
        <v>30</v>
      </c>
      <c r="B42" t="s">
        <v>31</v>
      </c>
      <c r="C42">
        <f>SUMPRODUCT((Data!$A$2:$A$93=DATE(2026,9,3))*(Data!$B$2:$B$93="CWL-2942")*Data!$H$2:$H$93)</f>
        <v>1</v>
      </c>
      <c r="D42">
        <f>ROUND(SUMIFS(Data!$D:$D,Data!$A:$A,DATE(2026,9,3),Data!$B:$B,"CWL-2942"),2)</f>
        <v>0.17</v>
      </c>
      <c r="E42" t="s">
        <v>19</v>
      </c>
      <c r="F42" t="s">
        <v>20</v>
      </c>
    </row>
    <row r="43" spans="1:6" x14ac:dyDescent="0.3">
      <c r="A43" t="s">
        <v>61</v>
      </c>
      <c r="B43" t="s">
        <v>62</v>
      </c>
      <c r="C43">
        <f>SUMPRODUCT((Data!$A$2:$A$93=DATE(2026,9,3))*(Data!$B$2:$B$93="CWL-2957")*Data!$H$2:$H$93)</f>
        <v>3</v>
      </c>
      <c r="D43">
        <f>ROUND(SUMIFS(Data!$D:$D,Data!$A:$A,DATE(2026,9,3),Data!$B:$B,"CWL-2957"),2)</f>
        <v>11.3</v>
      </c>
      <c r="E43" t="s">
        <v>19</v>
      </c>
      <c r="F43" t="s">
        <v>27</v>
      </c>
    </row>
    <row r="44" spans="1:6" x14ac:dyDescent="0.3">
      <c r="A44" t="s">
        <v>42</v>
      </c>
      <c r="B44" t="s">
        <v>43</v>
      </c>
      <c r="C44">
        <f>SUMPRODUCT((Data!$A$2:$A$93=DATE(2026,9,3))*(Data!$B$2:$B$93="CWL-2938")*Data!$H$2:$H$93)</f>
        <v>2</v>
      </c>
      <c r="D44">
        <f>ROUND(SUMIFS(Data!$D:$D,Data!$A:$A,DATE(2026,9,3),Data!$B:$B,"CWL-2938"),2)</f>
        <v>2</v>
      </c>
      <c r="E44" t="s">
        <v>19</v>
      </c>
      <c r="F44" t="s">
        <v>27</v>
      </c>
    </row>
    <row r="45" spans="1:6" x14ac:dyDescent="0.3">
      <c r="A45" t="s">
        <v>22</v>
      </c>
      <c r="B45" t="s">
        <v>23</v>
      </c>
      <c r="C45">
        <f>SUMPRODUCT((Data!$A$2:$A$93=DATE(2026,9,3))*(Data!$B$2:$B$93="CWL-2464")*Data!$H$2:$H$93)</f>
        <v>1</v>
      </c>
      <c r="D45">
        <f>ROUND(SUMIFS(Data!$D:$D,Data!$A:$A,DATE(2026,9,3),Data!$B:$B,"CWL-2464"),2)</f>
        <v>2</v>
      </c>
      <c r="E45" t="s">
        <v>21</v>
      </c>
      <c r="F45" t="s">
        <v>24</v>
      </c>
    </row>
    <row r="46" spans="1:6" x14ac:dyDescent="0.3">
      <c r="A46" s="10" t="str">
        <f>"Day Total ("&amp;COUNTA(A35:A45)&amp;" tickets)"</f>
        <v>Day Total (11 tickets)</v>
      </c>
      <c r="B46" s="10"/>
      <c r="C46" s="4"/>
      <c r="D46" s="4">
        <f>ROUND(SUM(D35:D45),2)</f>
        <v>53.14</v>
      </c>
      <c r="E46" s="4"/>
      <c r="F46" s="4"/>
    </row>
    <row r="48" spans="1:6" ht="19.5" customHeight="1" x14ac:dyDescent="0.3">
      <c r="A48" s="12" t="s">
        <v>71</v>
      </c>
      <c r="B48" s="9"/>
      <c r="C48" s="9"/>
      <c r="D48" s="9"/>
      <c r="E48" s="9"/>
      <c r="F48" s="9"/>
    </row>
    <row r="49" spans="1:6" x14ac:dyDescent="0.3">
      <c r="A49" s="3" t="s">
        <v>9</v>
      </c>
      <c r="B49" s="3" t="s">
        <v>10</v>
      </c>
      <c r="C49" s="3" t="s">
        <v>68</v>
      </c>
      <c r="D49" s="3" t="s">
        <v>69</v>
      </c>
      <c r="E49" s="3" t="s">
        <v>14</v>
      </c>
      <c r="F49" s="3" t="s">
        <v>13</v>
      </c>
    </row>
    <row r="50" spans="1:6" x14ac:dyDescent="0.3">
      <c r="A50" t="s">
        <v>48</v>
      </c>
      <c r="B50" t="s">
        <v>49</v>
      </c>
      <c r="C50">
        <f>SUMPRODUCT((Data!$A$2:$A$93=DATE(2026,9,4))*(Data!$B$2:$B$93="CWL-2956")*Data!$H$2:$H$93)</f>
        <v>7</v>
      </c>
      <c r="D50">
        <f>ROUND(SUMIFS(Data!$D:$D,Data!$A:$A,DATE(2026,9,4),Data!$B:$B,"CWL-2956"),2)</f>
        <v>7.5</v>
      </c>
      <c r="E50" t="s">
        <v>19</v>
      </c>
      <c r="F50" t="s">
        <v>24</v>
      </c>
    </row>
    <row r="51" spans="1:6" x14ac:dyDescent="0.3">
      <c r="A51" t="s">
        <v>55</v>
      </c>
      <c r="B51" t="s">
        <v>56</v>
      </c>
      <c r="C51">
        <f>SUMPRODUCT((Data!$A$2:$A$93=DATE(2026,9,4))*(Data!$B$2:$B$93="CWL-2958")*Data!$H$2:$H$93)</f>
        <v>3</v>
      </c>
      <c r="D51">
        <f>ROUND(SUMIFS(Data!$D:$D,Data!$A:$A,DATE(2026,9,4),Data!$B:$B,"CWL-2958"),2)</f>
        <v>18.13</v>
      </c>
      <c r="E51" t="s">
        <v>19</v>
      </c>
      <c r="F51" t="s">
        <v>27</v>
      </c>
    </row>
    <row r="52" spans="1:6" x14ac:dyDescent="0.3">
      <c r="A52" t="s">
        <v>63</v>
      </c>
      <c r="B52" t="s">
        <v>64</v>
      </c>
      <c r="C52">
        <f>SUMPRODUCT((Data!$A$2:$A$93=DATE(2026,9,4))*(Data!$B$2:$B$93="CWL-2961")*Data!$H$2:$H$93)</f>
        <v>1</v>
      </c>
      <c r="D52">
        <f>ROUND(SUMIFS(Data!$D:$D,Data!$A:$A,DATE(2026,9,4),Data!$B:$B,"CWL-2961"),2)</f>
        <v>0.33</v>
      </c>
      <c r="E52" t="s">
        <v>19</v>
      </c>
      <c r="F52" t="s">
        <v>20</v>
      </c>
    </row>
    <row r="53" spans="1:6" x14ac:dyDescent="0.3">
      <c r="A53" t="s">
        <v>61</v>
      </c>
      <c r="B53" t="s">
        <v>62</v>
      </c>
      <c r="C53">
        <f>SUMPRODUCT((Data!$A$2:$A$93=DATE(2026,9,4))*(Data!$B$2:$B$93="CWL-2957")*Data!$H$2:$H$93)</f>
        <v>3</v>
      </c>
      <c r="D53">
        <f>ROUND(SUMIFS(Data!$D:$D,Data!$A:$A,DATE(2026,9,4),Data!$B:$B,"CWL-2957"),2)</f>
        <v>18.55</v>
      </c>
      <c r="E53" t="s">
        <v>19</v>
      </c>
      <c r="F53" t="s">
        <v>27</v>
      </c>
    </row>
    <row r="54" spans="1:6" x14ac:dyDescent="0.3">
      <c r="A54" t="s">
        <v>65</v>
      </c>
      <c r="B54" t="s">
        <v>66</v>
      </c>
      <c r="C54">
        <f>SUMPRODUCT((Data!$A$2:$A$93=DATE(2026,9,4))*(Data!$B$2:$B$93="CWL-2960")*Data!$H$2:$H$93)</f>
        <v>1</v>
      </c>
      <c r="D54">
        <f>ROUND(SUMIFS(Data!$D:$D,Data!$A:$A,DATE(2026,9,4),Data!$B:$B,"CWL-2960"),2)</f>
        <v>0.42</v>
      </c>
      <c r="E54" t="s">
        <v>19</v>
      </c>
      <c r="F54" t="s">
        <v>27</v>
      </c>
    </row>
    <row r="55" spans="1:6" x14ac:dyDescent="0.3">
      <c r="A55" t="s">
        <v>50</v>
      </c>
      <c r="B55" t="s">
        <v>51</v>
      </c>
      <c r="C55">
        <f>SUMPRODUCT((Data!$A$2:$A$93=DATE(2026,9,4))*(Data!$B$2:$B$93="CWL-2955")*Data!$H$2:$H$93)</f>
        <v>1</v>
      </c>
      <c r="D55">
        <f>ROUND(SUMIFS(Data!$D:$D,Data!$A:$A,DATE(2026,9,4),Data!$B:$B,"CWL-2955"),2)</f>
        <v>5</v>
      </c>
      <c r="E55" t="s">
        <v>19</v>
      </c>
      <c r="F55" t="s">
        <v>24</v>
      </c>
    </row>
    <row r="56" spans="1:6" x14ac:dyDescent="0.3">
      <c r="A56" s="10" t="str">
        <f>"Day Total ("&amp;COUNTA(A50:A55)&amp;" tickets)"</f>
        <v>Day Total (6 tickets)</v>
      </c>
      <c r="B56" s="10"/>
      <c r="C56" s="4"/>
      <c r="D56" s="4">
        <f>ROUND(SUM(D50:D55),2)</f>
        <v>49.93</v>
      </c>
      <c r="E56" s="4"/>
      <c r="F56" s="4"/>
    </row>
    <row r="58" spans="1:6" ht="19.5" customHeight="1" x14ac:dyDescent="0.3">
      <c r="A58" s="14" t="s">
        <v>72</v>
      </c>
      <c r="B58" s="9"/>
      <c r="C58" s="9"/>
      <c r="D58" s="9"/>
      <c r="E58" s="9"/>
      <c r="F58" s="9"/>
    </row>
    <row r="59" spans="1:6" ht="19.5" customHeight="1" x14ac:dyDescent="0.3">
      <c r="A59" s="13" t="s">
        <v>73</v>
      </c>
      <c r="B59" s="9"/>
      <c r="C59" s="9"/>
      <c r="D59" s="9"/>
      <c r="E59" s="10">
        <f>SUM(Data!J2:J93)</f>
        <v>21</v>
      </c>
      <c r="F59" s="9"/>
    </row>
    <row r="60" spans="1:6" x14ac:dyDescent="0.3">
      <c r="A60" s="13" t="s">
        <v>74</v>
      </c>
      <c r="B60" s="9"/>
      <c r="C60" s="9"/>
      <c r="D60" s="9"/>
      <c r="E60" s="10">
        <v>6</v>
      </c>
      <c r="F60" s="9"/>
    </row>
    <row r="61" spans="1:6" x14ac:dyDescent="0.3">
      <c r="A61" s="13" t="s">
        <v>96</v>
      </c>
      <c r="B61" s="9"/>
      <c r="C61" s="9"/>
      <c r="D61" s="9"/>
      <c r="E61" s="10">
        <v>17</v>
      </c>
      <c r="F61" s="9"/>
    </row>
    <row r="62" spans="1:6" x14ac:dyDescent="0.3">
      <c r="A62" s="13" t="s">
        <v>75</v>
      </c>
      <c r="B62" s="9"/>
      <c r="C62" s="9"/>
      <c r="D62" s="9"/>
      <c r="E62" s="10">
        <f>ROUND(SUM(Data!D:D),2)</f>
        <v>185.88</v>
      </c>
      <c r="F62" s="9"/>
    </row>
    <row r="63" spans="1:6" x14ac:dyDescent="0.3">
      <c r="A63" s="13" t="s">
        <v>76</v>
      </c>
      <c r="B63" s="9"/>
      <c r="C63" s="9"/>
      <c r="D63" s="9"/>
      <c r="E63" s="10">
        <v>7</v>
      </c>
      <c r="F63" s="9"/>
    </row>
    <row r="65" spans="1:2" x14ac:dyDescent="0.3">
      <c r="A65" s="6" t="s">
        <v>77</v>
      </c>
    </row>
    <row r="66" spans="1:2" x14ac:dyDescent="0.3">
      <c r="A66" s="5" t="s">
        <v>78</v>
      </c>
      <c r="B66" t="s">
        <v>79</v>
      </c>
    </row>
    <row r="73" spans="1:2" ht="19.5" customHeight="1" x14ac:dyDescent="0.3"/>
    <row r="90" ht="19.5" customHeight="1" x14ac:dyDescent="0.3"/>
    <row r="102" ht="19.5" customHeight="1" x14ac:dyDescent="0.3"/>
    <row r="117" ht="19.5" customHeight="1" x14ac:dyDescent="0.3"/>
    <row r="127" ht="19.5" customHeight="1" x14ac:dyDescent="0.3"/>
  </sheetData>
  <mergeCells count="21">
    <mergeCell ref="E62:F62"/>
    <mergeCell ref="A63:D63"/>
    <mergeCell ref="E63:F63"/>
    <mergeCell ref="A56:B56"/>
    <mergeCell ref="A58:F58"/>
    <mergeCell ref="A59:D59"/>
    <mergeCell ref="E59:F59"/>
    <mergeCell ref="A60:D60"/>
    <mergeCell ref="E60:F60"/>
    <mergeCell ref="A61:D61"/>
    <mergeCell ref="E61:F61"/>
    <mergeCell ref="A62:D62"/>
    <mergeCell ref="A1:F1"/>
    <mergeCell ref="A2:F2"/>
    <mergeCell ref="A4:F4"/>
    <mergeCell ref="A46:B46"/>
    <mergeCell ref="A48:F48"/>
    <mergeCell ref="A19:B19"/>
    <mergeCell ref="A21:F21"/>
    <mergeCell ref="A31:B31"/>
    <mergeCell ref="A33:F3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EFF93-9DF8-4652-A15A-BE0B9392F250}">
  <sheetPr codeName="Sheet5"/>
  <dimension ref="A1:E11"/>
  <sheetViews>
    <sheetView workbookViewId="0">
      <selection sqref="A1:XFD1048576"/>
    </sheetView>
  </sheetViews>
  <sheetFormatPr defaultRowHeight="14.4" x14ac:dyDescent="0.3"/>
  <cols>
    <col min="1" max="1" width="14.77734375" customWidth="1"/>
    <col min="2" max="2" width="55.77734375" customWidth="1"/>
    <col min="3" max="3" width="22.77734375" customWidth="1"/>
    <col min="4" max="4" width="12.77734375" customWidth="1"/>
    <col min="5" max="5" width="14.77734375" customWidth="1"/>
  </cols>
  <sheetData>
    <row r="1" spans="1:5" ht="22.05" customHeight="1" x14ac:dyDescent="0.4">
      <c r="A1" s="8" t="s">
        <v>80</v>
      </c>
      <c r="B1" s="9"/>
      <c r="C1" s="9"/>
      <c r="D1" s="9"/>
      <c r="E1" s="9"/>
    </row>
    <row r="3" spans="1:5" x14ac:dyDescent="0.3">
      <c r="A3" s="3" t="s">
        <v>9</v>
      </c>
      <c r="B3" s="3" t="s">
        <v>10</v>
      </c>
      <c r="C3" s="3" t="s">
        <v>13</v>
      </c>
      <c r="D3" s="3" t="s">
        <v>14</v>
      </c>
      <c r="E3" s="3" t="s">
        <v>81</v>
      </c>
    </row>
    <row r="4" spans="1:5" x14ac:dyDescent="0.3">
      <c r="A4" t="s">
        <v>48</v>
      </c>
      <c r="B4" t="s">
        <v>49</v>
      </c>
      <c r="C4" t="s">
        <v>84</v>
      </c>
      <c r="D4" t="s">
        <v>19</v>
      </c>
      <c r="E4" s="2">
        <v>46266</v>
      </c>
    </row>
    <row r="5" spans="1:5" x14ac:dyDescent="0.3">
      <c r="A5" t="s">
        <v>61</v>
      </c>
      <c r="B5" t="s">
        <v>62</v>
      </c>
      <c r="C5" t="s">
        <v>83</v>
      </c>
      <c r="D5" t="s">
        <v>19</v>
      </c>
      <c r="E5" s="2">
        <v>46267</v>
      </c>
    </row>
    <row r="6" spans="1:5" x14ac:dyDescent="0.3">
      <c r="A6" t="s">
        <v>55</v>
      </c>
      <c r="B6" t="s">
        <v>56</v>
      </c>
      <c r="C6" t="s">
        <v>83</v>
      </c>
      <c r="D6" t="s">
        <v>19</v>
      </c>
      <c r="E6" s="2">
        <v>46267</v>
      </c>
    </row>
    <row r="7" spans="1:5" x14ac:dyDescent="0.3">
      <c r="A7" t="s">
        <v>57</v>
      </c>
      <c r="B7" t="s">
        <v>58</v>
      </c>
      <c r="C7" t="s">
        <v>82</v>
      </c>
      <c r="D7" t="s">
        <v>19</v>
      </c>
      <c r="E7" s="2">
        <v>46267</v>
      </c>
    </row>
    <row r="8" spans="1:5" x14ac:dyDescent="0.3">
      <c r="A8" t="s">
        <v>65</v>
      </c>
      <c r="B8" t="s">
        <v>66</v>
      </c>
      <c r="C8" t="s">
        <v>83</v>
      </c>
      <c r="D8" t="s">
        <v>19</v>
      </c>
      <c r="E8" s="2">
        <v>46268</v>
      </c>
    </row>
    <row r="9" spans="1:5" x14ac:dyDescent="0.3">
      <c r="A9" t="s">
        <v>63</v>
      </c>
      <c r="B9" t="s">
        <v>64</v>
      </c>
      <c r="C9" t="s">
        <v>82</v>
      </c>
      <c r="D9" t="s">
        <v>19</v>
      </c>
      <c r="E9" s="2">
        <v>46268</v>
      </c>
    </row>
    <row r="11" spans="1:5" x14ac:dyDescent="0.3">
      <c r="A11" s="6" t="s">
        <v>85</v>
      </c>
      <c r="E11" s="6">
        <v>6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9B26F-6C6A-405C-A656-797CF6641C86}">
  <sheetPr codeName="Sheet6"/>
  <dimension ref="A1:F11"/>
  <sheetViews>
    <sheetView workbookViewId="0">
      <selection sqref="A1:L1"/>
    </sheetView>
  </sheetViews>
  <sheetFormatPr defaultRowHeight="14.4" x14ac:dyDescent="0.3"/>
  <cols>
    <col min="1" max="1" width="28.77734375" customWidth="1"/>
    <col min="2" max="12" width="14.77734375" customWidth="1"/>
  </cols>
  <sheetData>
    <row r="1" spans="1:6" ht="22.05" customHeight="1" x14ac:dyDescent="0.4">
      <c r="A1" s="8" t="s">
        <v>86</v>
      </c>
      <c r="B1" s="9"/>
      <c r="C1" s="9"/>
      <c r="D1" s="9"/>
      <c r="E1" s="9"/>
      <c r="F1" s="9"/>
    </row>
    <row r="3" spans="1:6" x14ac:dyDescent="0.3">
      <c r="A3" s="3" t="s">
        <v>12</v>
      </c>
      <c r="B3" s="7">
        <v>46266</v>
      </c>
      <c r="C3" s="7">
        <v>46267</v>
      </c>
      <c r="D3" s="7">
        <v>46268</v>
      </c>
      <c r="E3" s="7">
        <v>46269</v>
      </c>
      <c r="F3" s="3" t="s">
        <v>87</v>
      </c>
    </row>
    <row r="4" spans="1:6" x14ac:dyDescent="0.3">
      <c r="A4" t="s">
        <v>1</v>
      </c>
      <c r="B4">
        <f>ROUND(SUMIFS(Data!$D:$D,Data!$A:$A,DATE(2026,9,1),Data!$E:$E,"Daundkar, Mukul External"),2)</f>
        <v>6</v>
      </c>
      <c r="C4">
        <f>ROUND(SUMIFS(Data!$D:$D,Data!$A:$A,DATE(2026,9,2),Data!$E:$E,"Daundkar, Mukul External"),2)</f>
        <v>6.5</v>
      </c>
      <c r="D4">
        <f>ROUND(SUMIFS(Data!$D:$D,Data!$A:$A,DATE(2026,9,3),Data!$E:$E,"Daundkar, Mukul External"),2)</f>
        <v>8.5</v>
      </c>
      <c r="E4">
        <f>ROUND(SUMIFS(Data!$D:$D,Data!$A:$A,DATE(2026,9,4),Data!$E:$E,"Daundkar, Mukul External"),2)</f>
        <v>6</v>
      </c>
      <c r="F4">
        <f>ROUND(SUM(B4:E4),2)</f>
        <v>27</v>
      </c>
    </row>
    <row r="5" spans="1:6" x14ac:dyDescent="0.3">
      <c r="A5" t="s">
        <v>3</v>
      </c>
      <c r="B5">
        <f>ROUND(SUMIFS(Data!$D:$D,Data!$A:$A,DATE(2026,9,1),Data!$E:$E,"Joshi, Chaitanya External"),2)</f>
        <v>5.75</v>
      </c>
      <c r="C5">
        <f>ROUND(SUMIFS(Data!$D:$D,Data!$A:$A,DATE(2026,9,2),Data!$E:$E,"Joshi, Chaitanya External"),2)</f>
        <v>6.4</v>
      </c>
      <c r="D5">
        <f>ROUND(SUMIFS(Data!$D:$D,Data!$A:$A,DATE(2026,9,3),Data!$E:$E,"Joshi, Chaitanya External"),2)</f>
        <v>7.8</v>
      </c>
      <c r="E5">
        <f>ROUND(SUMIFS(Data!$D:$D,Data!$A:$A,DATE(2026,9,4),Data!$E:$E,"Joshi, Chaitanya External"),2)</f>
        <v>7.8</v>
      </c>
      <c r="F5">
        <f>ROUND(SUM(B5:E5),2)</f>
        <v>27.75</v>
      </c>
    </row>
    <row r="6" spans="1:6" x14ac:dyDescent="0.3">
      <c r="A6" t="s">
        <v>5</v>
      </c>
      <c r="B6">
        <f>ROUND(SUMIFS(Data!$D:$D,Data!$A:$A,DATE(2026,9,1),Data!$E:$E,"Kale, Sonali External"),2)</f>
        <v>6.67</v>
      </c>
      <c r="C6">
        <f>ROUND(SUMIFS(Data!$D:$D,Data!$A:$A,DATE(2026,9,2),Data!$E:$E,"Kale, Sonali External"),2)</f>
        <v>6.33</v>
      </c>
      <c r="D6">
        <f>ROUND(SUMIFS(Data!$D:$D,Data!$A:$A,DATE(2026,9,3),Data!$E:$E,"Kale, Sonali External"),2)</f>
        <v>7.83</v>
      </c>
      <c r="E6">
        <f>ROUND(SUMIFS(Data!$D:$D,Data!$A:$A,DATE(2026,9,4),Data!$E:$E,"Kale, Sonali External"),2)</f>
        <v>7.83</v>
      </c>
      <c r="F6">
        <f>ROUND(SUM(B6:E6),2)</f>
        <v>28.66</v>
      </c>
    </row>
    <row r="7" spans="1:6" x14ac:dyDescent="0.3">
      <c r="A7" t="s">
        <v>7</v>
      </c>
      <c r="B7">
        <f>ROUND(SUMIFS(Data!$D:$D,Data!$A:$A,DATE(2026,9,1),Data!$E:$E,"Shinde, Dakshata External"),2)</f>
        <v>6.33</v>
      </c>
      <c r="C7">
        <f>ROUND(SUMIFS(Data!$D:$D,Data!$A:$A,DATE(2026,9,2),Data!$E:$E,"Shinde, Dakshata External"),2)</f>
        <v>7.5</v>
      </c>
      <c r="D7">
        <f>ROUND(SUMIFS(Data!$D:$D,Data!$A:$A,DATE(2026,9,3),Data!$E:$E,"Shinde, Dakshata External"),2)</f>
        <v>8</v>
      </c>
      <c r="E7">
        <f>ROUND(SUMIFS(Data!$D:$D,Data!$A:$A,DATE(2026,9,4),Data!$E:$E,"Shinde, Dakshata External"),2)</f>
        <v>7.8</v>
      </c>
      <c r="F7">
        <f>ROUND(SUM(B7:E7),2)</f>
        <v>29.63</v>
      </c>
    </row>
    <row r="8" spans="1:6" x14ac:dyDescent="0.3">
      <c r="A8" t="s">
        <v>2</v>
      </c>
      <c r="B8">
        <f>ROUND(SUMIFS(Data!$D:$D,Data!$A:$A,DATE(2026,9,1),Data!$E:$E,"Shinde, Sayali External"),2)</f>
        <v>6.33</v>
      </c>
      <c r="C8">
        <f>ROUND(SUMIFS(Data!$D:$D,Data!$A:$A,DATE(2026,9,2),Data!$E:$E,"Shinde, Sayali External"),2)</f>
        <v>6.25</v>
      </c>
      <c r="D8">
        <f>ROUND(SUMIFS(Data!$D:$D,Data!$A:$A,DATE(2026,9,3),Data!$E:$E,"Shinde, Sayali External"),2)</f>
        <v>6.83</v>
      </c>
      <c r="E8">
        <f>ROUND(SUMIFS(Data!$D:$D,Data!$A:$A,DATE(2026,9,4),Data!$E:$E,"Shinde, Sayali External"),2)</f>
        <v>6.75</v>
      </c>
      <c r="F8">
        <f>ROUND(SUM(B8:E8),2)</f>
        <v>26.16</v>
      </c>
    </row>
    <row r="9" spans="1:6" x14ac:dyDescent="0.3">
      <c r="A9" t="s">
        <v>6</v>
      </c>
      <c r="B9">
        <f>ROUND(SUMIFS(Data!$D:$D,Data!$A:$A,DATE(2026,9,1),Data!$E:$E,"Shirvatkar, Yadnesh External"),2)</f>
        <v>6</v>
      </c>
      <c r="C9">
        <f>ROUND(SUMIFS(Data!$D:$D,Data!$A:$A,DATE(2026,9,2),Data!$E:$E,"Shirvatkar, Yadnesh External"),2)</f>
        <v>6.25</v>
      </c>
      <c r="D9">
        <f>ROUND(SUMIFS(Data!$D:$D,Data!$A:$A,DATE(2026,9,3),Data!$E:$E,"Shirvatkar, Yadnesh External"),2)</f>
        <v>7</v>
      </c>
      <c r="E9">
        <f>ROUND(SUMIFS(Data!$D:$D,Data!$A:$A,DATE(2026,9,4),Data!$E:$E,"Shirvatkar, Yadnesh External"),2)</f>
        <v>6.75</v>
      </c>
      <c r="F9">
        <f>ROUND(SUM(B9:E9),2)</f>
        <v>26</v>
      </c>
    </row>
    <row r="10" spans="1:6" x14ac:dyDescent="0.3">
      <c r="A10" t="s">
        <v>4</v>
      </c>
      <c r="B10">
        <f>ROUND(SUMIFS(Data!$D:$D,Data!$A:$A,DATE(2026,9,1),Data!$E:$E,"Yamanollu, Anjaneyulu External"),2)</f>
        <v>6.5</v>
      </c>
      <c r="C10">
        <f>ROUND(SUMIFS(Data!$D:$D,Data!$A:$A,DATE(2026,9,2),Data!$E:$E,"Yamanollu, Anjaneyulu External"),2)</f>
        <v>0</v>
      </c>
      <c r="D10">
        <f>ROUND(SUMIFS(Data!$D:$D,Data!$A:$A,DATE(2026,9,3),Data!$E:$E,"Yamanollu, Anjaneyulu External"),2)</f>
        <v>7.17</v>
      </c>
      <c r="E10">
        <f>ROUND(SUMIFS(Data!$D:$D,Data!$A:$A,DATE(2026,9,4),Data!$E:$E,"Yamanollu, Anjaneyulu External"),2)</f>
        <v>7</v>
      </c>
      <c r="F10">
        <f>ROUND(SUM(B10:E10),2)</f>
        <v>20.67</v>
      </c>
    </row>
    <row r="11" spans="1:6" x14ac:dyDescent="0.3">
      <c r="A11" s="6" t="s">
        <v>88</v>
      </c>
      <c r="B11" s="6">
        <f>ROUND(SUM(B4:B10),2)</f>
        <v>43.58</v>
      </c>
      <c r="C11" s="6">
        <f>ROUND(SUM(C4:C10),2)</f>
        <v>39.229999999999997</v>
      </c>
      <c r="D11" s="6">
        <f>ROUND(SUM(D4:D10),2)</f>
        <v>53.13</v>
      </c>
      <c r="E11" s="6">
        <f>ROUND(SUM(E4:E10),2)</f>
        <v>49.93</v>
      </c>
      <c r="F11" s="6">
        <f>ROUND(SUM(F4:F10),2)</f>
        <v>185.87</v>
      </c>
    </row>
  </sheetData>
  <mergeCells count="1">
    <mergeCell ref="A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99AA-8B8C-4ED4-8E1B-FDD885133FA9}">
  <sheetPr codeName="Sheet7"/>
  <dimension ref="A1:H11"/>
  <sheetViews>
    <sheetView tabSelected="1" workbookViewId="0">
      <selection activeCell="E10" sqref="E10"/>
    </sheetView>
  </sheetViews>
  <sheetFormatPr defaultRowHeight="14.4" x14ac:dyDescent="0.3"/>
  <cols>
    <col min="1" max="1" width="12.77734375" customWidth="1"/>
    <col min="2" max="2" width="8.77734375" customWidth="1"/>
    <col min="4" max="4" width="26.77734375" customWidth="1"/>
    <col min="5" max="5" width="8.77734375" customWidth="1"/>
    <col min="7" max="7" width="10.77734375" customWidth="1"/>
    <col min="8" max="8" width="8.77734375" customWidth="1"/>
  </cols>
  <sheetData>
    <row r="1" spans="1:8" ht="22.05" customHeight="1" x14ac:dyDescent="0.4">
      <c r="A1" s="8" t="s">
        <v>89</v>
      </c>
      <c r="B1" s="9"/>
      <c r="C1" s="9"/>
      <c r="D1" s="9"/>
      <c r="E1" s="9"/>
      <c r="F1" s="9"/>
      <c r="G1" s="9"/>
      <c r="H1" s="9"/>
    </row>
    <row r="3" spans="1:8" x14ac:dyDescent="0.3">
      <c r="A3" s="6" t="s">
        <v>90</v>
      </c>
      <c r="D3" s="6" t="s">
        <v>91</v>
      </c>
      <c r="G3" s="6" t="s">
        <v>92</v>
      </c>
    </row>
    <row r="4" spans="1:8" x14ac:dyDescent="0.3">
      <c r="A4" s="3" t="s">
        <v>8</v>
      </c>
      <c r="B4" s="3" t="s">
        <v>11</v>
      </c>
      <c r="D4" s="3" t="s">
        <v>12</v>
      </c>
      <c r="E4" s="3" t="s">
        <v>11</v>
      </c>
      <c r="G4" s="3" t="s">
        <v>14</v>
      </c>
      <c r="H4" s="3" t="s">
        <v>93</v>
      </c>
    </row>
    <row r="5" spans="1:8" x14ac:dyDescent="0.3">
      <c r="A5" s="1">
        <v>46266</v>
      </c>
      <c r="B5">
        <f>ROUND(SUMIFS(Data!$D:$D,Data!$A:$A,DATE(2026,9,1)),2)</f>
        <v>43.58</v>
      </c>
      <c r="D5" t="s">
        <v>1</v>
      </c>
      <c r="E5">
        <f>ROUND(SUMIFS(Data!$D:$D,Data!$E:$E,"Daundkar, Mukul External"),2)</f>
        <v>27</v>
      </c>
      <c r="G5" t="s">
        <v>21</v>
      </c>
      <c r="H5">
        <v>1</v>
      </c>
    </row>
    <row r="6" spans="1:8" x14ac:dyDescent="0.3">
      <c r="A6" s="1">
        <v>46267</v>
      </c>
      <c r="B6">
        <f>ROUND(SUMIFS(Data!$D:$D,Data!$A:$A,DATE(2026,9,2)),2)</f>
        <v>39.229999999999997</v>
      </c>
      <c r="D6" t="s">
        <v>3</v>
      </c>
      <c r="E6">
        <f>ROUND(SUMIFS(Data!$D:$D,Data!$E:$E,"Joshi, Chaitanya External"),2)</f>
        <v>27.75</v>
      </c>
      <c r="G6" t="s">
        <v>19</v>
      </c>
      <c r="H6">
        <v>20</v>
      </c>
    </row>
    <row r="7" spans="1:8" x14ac:dyDescent="0.3">
      <c r="A7" s="1">
        <v>46268</v>
      </c>
      <c r="B7">
        <f>ROUND(SUMIFS(Data!$D:$D,Data!$A:$A,DATE(2026,9,3)),2)</f>
        <v>53.13</v>
      </c>
      <c r="D7" t="s">
        <v>5</v>
      </c>
      <c r="E7">
        <f>ROUND(SUMIFS(Data!$D:$D,Data!$E:$E,"Kale, Sonali External"),2)</f>
        <v>28.67</v>
      </c>
    </row>
    <row r="8" spans="1:8" x14ac:dyDescent="0.3">
      <c r="A8" s="1">
        <v>46269</v>
      </c>
      <c r="B8">
        <f>ROUND(SUMIFS(Data!$D:$D,Data!$A:$A,DATE(2026,9,4)),2)</f>
        <v>49.93</v>
      </c>
      <c r="D8" t="s">
        <v>7</v>
      </c>
      <c r="E8">
        <f>ROUND(SUMIFS(Data!$D:$D,Data!$E:$E,"Shinde, Dakshata External"),2)</f>
        <v>29.63</v>
      </c>
    </row>
    <row r="9" spans="1:8" x14ac:dyDescent="0.3">
      <c r="D9" t="s">
        <v>2</v>
      </c>
      <c r="E9">
        <f>ROUND(SUMIFS(Data!$D:$D,Data!$E:$E,"Shinde, Sayali External"),2)</f>
        <v>26.17</v>
      </c>
    </row>
    <row r="10" spans="1:8" x14ac:dyDescent="0.3">
      <c r="D10" t="s">
        <v>6</v>
      </c>
      <c r="E10">
        <f>ROUND(SUMIFS(Data!$D:$D,Data!$E:$E,"Shirvatkar, Yadnesh External"),2)</f>
        <v>26</v>
      </c>
    </row>
    <row r="11" spans="1:8" x14ac:dyDescent="0.3">
      <c r="D11" t="s">
        <v>4</v>
      </c>
      <c r="E11">
        <f>ROUND(SUMIFS(Data!$D:$D,Data!$E:$E,"Yamanollu, Anjaneyulu External"),2)</f>
        <v>20.67</v>
      </c>
    </row>
  </sheetData>
  <mergeCells count="1">
    <mergeCell ref="A1:H1"/>
  </mergeCells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760c494-6550-44b4-8258-77c175d778b7}" enabled="1" method="Privileged" siteId="{76a2ae5a-9f00-4f6b-95ed-5d33d77c4d6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Data</vt:lpstr>
      <vt:lpstr>Weekly Report</vt:lpstr>
      <vt:lpstr>Tickets Created This Week</vt:lpstr>
      <vt:lpstr>Author Summary</vt:lpstr>
      <vt:lpstr>Dashboard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Shinde, Dakshata</dc:creator>
  <cp:lastModifiedBy>Shinde, Dakshata</cp:lastModifiedBy>
  <dcterms:created xsi:type="dcterms:W3CDTF">2026-09-07T10:42:02Z</dcterms:created>
  <dcterms:modified xsi:type="dcterms:W3CDTF">2026-09-08T07:50:54Z</dcterms:modified>
</cp:coreProperties>
</file>