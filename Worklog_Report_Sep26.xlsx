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logs" sheetId="1" state="visible" r:id="rId3"/>
    <sheet name="Report" sheetId="2" state="visible" r:id="rId4"/>
    <sheet name="Us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<sst xmlns="http://schemas.openxmlformats.org/spreadsheetml/2006/main" count="1054" uniqueCount="288">
  <si>
    <t xml:space="preserve">Work Item Key</t>
  </si>
  <si>
    <t xml:space="preserve">Work Item summary</t>
  </si>
  <si>
    <t xml:space="preserve">Logged Hours</t>
  </si>
  <si>
    <t xml:space="preserve">Logged Seconds</t>
  </si>
  <si>
    <t xml:space="preserve">Work date</t>
  </si>
  <si>
    <t xml:space="preserve">User Account ID</t>
  </si>
  <si>
    <t xml:space="preserve">Full name</t>
  </si>
  <si>
    <t xml:space="preserve">Tempo Team</t>
  </si>
  <si>
    <t xml:space="preserve">Team Lead ID</t>
  </si>
  <si>
    <t xml:space="preserve">Program</t>
  </si>
  <si>
    <t xml:space="preserve">Program Manager ID</t>
  </si>
  <si>
    <t xml:space="preserve">Period</t>
  </si>
  <si>
    <t xml:space="preserve">Account Key</t>
  </si>
  <si>
    <t xml:space="preserve">Account Name</t>
  </si>
  <si>
    <t xml:space="preserve">Account Status</t>
  </si>
  <si>
    <t xml:space="preserve">Account Lead ID</t>
  </si>
  <si>
    <t xml:space="preserve">Account Category</t>
  </si>
  <si>
    <t xml:space="preserve">Account Category Type</t>
  </si>
  <si>
    <t xml:space="preserve">Account Customer</t>
  </si>
  <si>
    <t xml:space="preserve">Account Contact ID</t>
  </si>
  <si>
    <t xml:space="preserve">Account Contact External</t>
  </si>
  <si>
    <t xml:space="preserve">Activity Name</t>
  </si>
  <si>
    <t xml:space="preserve">Component</t>
  </si>
  <si>
    <t xml:space="preserve">All Components</t>
  </si>
  <si>
    <t xml:space="preserve">Version Name</t>
  </si>
  <si>
    <t xml:space="preserve">Work Item Type</t>
  </si>
  <si>
    <t xml:space="preserve">Work Item Status</t>
  </si>
  <si>
    <t xml:space="preserve">Priority</t>
  </si>
  <si>
    <t xml:space="preserve">Space Key</t>
  </si>
  <si>
    <t xml:space="preserve">Space Name</t>
  </si>
  <si>
    <t xml:space="preserve">Epic</t>
  </si>
  <si>
    <t xml:space="preserve">Epic Link</t>
  </si>
  <si>
    <t xml:space="preserve">Work Description</t>
  </si>
  <si>
    <t xml:space="preserve">Parent Key</t>
  </si>
  <si>
    <t xml:space="preserve">Reporter ID</t>
  </si>
  <si>
    <t xml:space="preserve">Assignee ID</t>
  </si>
  <si>
    <t xml:space="preserve">External Hours</t>
  </si>
  <si>
    <t xml:space="preserve">Billable Hours</t>
  </si>
  <si>
    <t xml:space="preserve">Billable Seconds</t>
  </si>
  <si>
    <t xml:space="preserve">Work Item Original Estimate Hours</t>
  </si>
  <si>
    <t xml:space="preserve">Work Item Original Estimate Seconds</t>
  </si>
  <si>
    <t xml:space="preserve">Work Item Remaining Estimate Hours</t>
  </si>
  <si>
    <t xml:space="preserve">Work Item Remaining Estimate Seconds</t>
  </si>
  <si>
    <t xml:space="preserve">Approval status</t>
  </si>
  <si>
    <t xml:space="preserve">Date created</t>
  </si>
  <si>
    <t xml:space="preserve">Date updated</t>
  </si>
  <si>
    <t xml:space="preserve">Tempo Worklog ID</t>
  </si>
  <si>
    <t xml:space="preserve">CWL-2938</t>
  </si>
  <si>
    <t xml:space="preserve">Please upload updated MDR DoC documents to the Phonak Certificates page  and removed the older documents</t>
  </si>
  <si>
    <t xml:space="preserve">2026-09-01 08:00</t>
  </si>
  <si>
    <t xml:space="preserve">712020:bff05832-15dc-4ee5-a497-e1c8f7ccef4b</t>
  </si>
  <si>
    <t xml:space="preserve">Shinde, Dakshata External</t>
  </si>
  <si>
    <t xml:space="preserve">Capgemini</t>
  </si>
  <si>
    <t xml:space="preserve">63f8addd8ab3d6a635ee03fe</t>
  </si>
  <si>
    <t xml:space="preserve">0926</t>
  </si>
  <si>
    <t xml:space="preserve">Capgemini Web Localization</t>
  </si>
  <si>
    <t xml:space="preserve">Task</t>
  </si>
  <si>
    <t xml:space="preserve">DONE</t>
  </si>
  <si>
    <t xml:space="preserve">Medium</t>
  </si>
  <si>
    <t xml:space="preserve">CWL</t>
  </si>
  <si>
    <t xml:space="preserve">24 documents uploaded in DAM, Added Title in each document properties.  Adding document on masters 8/18 Updated Download component labels </t>
  </si>
  <si>
    <t xml:space="preserve">6150d70078e5e40070f10fcf</t>
  </si>
  <si>
    <t xml:space="preserve">Open</t>
  </si>
  <si>
    <t xml:space="preserve">2026-09-02 11:31</t>
  </si>
  <si>
    <t xml:space="preserve">87912</t>
  </si>
  <si>
    <t xml:space="preserve">CWL-2956</t>
  </si>
  <si>
    <t xml:space="preserve">Ad hoc: September</t>
  </si>
  <si>
    <t xml:space="preserve">2026-09-01 13:20</t>
  </si>
  <si>
    <t xml:space="preserve">RESOLVED</t>
  </si>
  <si>
    <t xml:space="preserve">Daily calls</t>
  </si>
  <si>
    <t xml:space="preserve">712020:43d154d7-2f24-4544-aee8-18a7991cad72</t>
  </si>
  <si>
    <t xml:space="preserve">2026-09-02 11:33</t>
  </si>
  <si>
    <t xml:space="preserve">87915</t>
  </si>
  <si>
    <t xml:space="preserve">2026-09-02 08:00</t>
  </si>
  <si>
    <t xml:space="preserve">24 documents uploaded in DAM, Added Title in each document properties.  Adding document on masters 18 pages done  Updated Download component labels </t>
  </si>
  <si>
    <t xml:space="preserve">87913</t>
  </si>
  <si>
    <t xml:space="preserve">2026-09-02 14:30</t>
  </si>
  <si>
    <t xml:space="preserve">87914</t>
  </si>
  <si>
    <t xml:space="preserve">CWL-2926</t>
  </si>
  <si>
    <t xml:space="preserve">Brazil Hansaton Website Update - User Guides</t>
  </si>
  <si>
    <t xml:space="preserve">2026-09-03 08:00</t>
  </si>
  <si>
    <t xml:space="preserve">Activation, live review, comment</t>
  </si>
  <si>
    <t xml:space="preserve">712020:0bb4520e-88ad-4944-b05c-757ccdced91f</t>
  </si>
  <si>
    <t xml:space="preserve">2026-09-03 07:27</t>
  </si>
  <si>
    <t xml:space="preserve">87953</t>
  </si>
  <si>
    <t xml:space="preserve">CWL-2943</t>
  </si>
  <si>
    <t xml:space="preserve">HT_Website_Software Update Download Center 5.10.1</t>
  </si>
  <si>
    <t xml:space="preserve">2026-09-03 08:10</t>
  </si>
  <si>
    <t xml:space="preserve">Activation, live review, comments</t>
  </si>
  <si>
    <t xml:space="preserve">6052fd65695c39007071a1b5</t>
  </si>
  <si>
    <t xml:space="preserve">2026-09-03 13:51</t>
  </si>
  <si>
    <t xml:space="preserve">87983</t>
  </si>
  <si>
    <t xml:space="preserve">CWL-2942</t>
  </si>
  <si>
    <t xml:space="preserve">HT_Website_Download Center Spain</t>
  </si>
  <si>
    <t xml:space="preserve">2026-09-03 08:30</t>
  </si>
  <si>
    <t xml:space="preserve">87984</t>
  </si>
  <si>
    <t xml:space="preserve">2026-09-03 08:40</t>
  </si>
  <si>
    <t xml:space="preserve">2026-09-03 13:52</t>
  </si>
  <si>
    <t xml:space="preserve">87985</t>
  </si>
  <si>
    <t xml:space="preserve">2026-09-03 09:40</t>
  </si>
  <si>
    <t xml:space="preserve">Country pages done</t>
  </si>
  <si>
    <t xml:space="preserve">2026-09-04 13:23</t>
  </si>
  <si>
    <t xml:space="preserve">88025</t>
  </si>
  <si>
    <t xml:space="preserve">CWL-2958</t>
  </si>
  <si>
    <t xml:space="preserve">Localization PH s3 - DE</t>
  </si>
  <si>
    <t xml:space="preserve">2026-09-03 10:00</t>
  </si>
  <si>
    <t xml:space="preserve">PH_S3_26</t>
  </si>
  <si>
    <t xml:space="preserve">Master pages : 16 pages  Audeo EON - Overview,Features,For professionals - 1h 15m Audeo EON Sphere - Overview,Features,For professionals- 1h 15m CROS EON - Overview,Features,For professionals- 1h 15m Hearing aids page -10 m New at Phonak -45 m Target user guides - 1h / 42documents, label translation User guides EON  -10 m User guides Charger - 10m User guides- 5m</t>
  </si>
  <si>
    <t xml:space="preserve">MOR-17113</t>
  </si>
  <si>
    <t xml:space="preserve">613a1c0e24ba8b00701d6a93</t>
  </si>
  <si>
    <t xml:space="preserve">2026-09-07 05:59</t>
  </si>
  <si>
    <t xml:space="preserve">88084</t>
  </si>
  <si>
    <t xml:space="preserve">2026-09-04 08:00</t>
  </si>
  <si>
    <t xml:space="preserve">2026-09-04 13:20</t>
  </si>
  <si>
    <t xml:space="preserve">88024</t>
  </si>
  <si>
    <t xml:space="preserve">2026-09-04 09:00</t>
  </si>
  <si>
    <t xml:space="preserve">3 Country updates  Audeo EON - Cf,Footnotes, links, Overview,Features,For professionals - 1h 21m Audeo EON Sphere - Cf,Footnotes, links, Overview,Features,For professionals- 1h 21m CROS EON - Cf,Footnotes, links,Overview,Features,For professionals- 1h 21m Hearing aids page -15m New at Phonak -30 m Target user guides - 30m / 42documents, label translation User guides EON  -15 m User guides Charger - 15m User guides- 15m Navigation Manually for 3 countries - 45m</t>
  </si>
  <si>
    <t xml:space="preserve">2026-09-07 06:05</t>
  </si>
  <si>
    <t xml:space="preserve">88088</t>
  </si>
  <si>
    <t xml:space="preserve">2026-09-07 08:00</t>
  </si>
  <si>
    <t xml:space="preserve">2026-09-10 10:22</t>
  </si>
  <si>
    <t xml:space="preserve">88247</t>
  </si>
  <si>
    <t xml:space="preserve">CWL-2955</t>
  </si>
  <si>
    <t xml:space="preserve">Update of Support Banner Into Content Fragment</t>
  </si>
  <si>
    <t xml:space="preserve">2026-09-07 09:00</t>
  </si>
  <si>
    <t xml:space="preserve">IN PROGRESS</t>
  </si>
  <si>
    <t xml:space="preserve">DK Master 109 Country 50 pages done</t>
  </si>
  <si>
    <t xml:space="preserve">712020:3c2be4d6-9205-4a56-b7d8-1f2bb88ce234</t>
  </si>
  <si>
    <t xml:space="preserve">2026-09-10 11:39</t>
  </si>
  <si>
    <t xml:space="preserve">88258</t>
  </si>
  <si>
    <t xml:space="preserve">2026-09-08 08:00</t>
  </si>
  <si>
    <t xml:space="preserve">2026-09-10 10:21</t>
  </si>
  <si>
    <t xml:space="preserve">88246</t>
  </si>
  <si>
    <t xml:space="preserve">2026-09-08 09:00</t>
  </si>
  <si>
    <t xml:space="preserve">52 pages done DK country BE NL 113 links done</t>
  </si>
  <si>
    <t xml:space="preserve">2026-09-10 11:41</t>
  </si>
  <si>
    <t xml:space="preserve">88259</t>
  </si>
  <si>
    <t xml:space="preserve">2026-09-09 08:00</t>
  </si>
  <si>
    <t xml:space="preserve">88245</t>
  </si>
  <si>
    <t xml:space="preserve">CWL-2963</t>
  </si>
  <si>
    <t xml:space="preserve">Update Phonak.de for Season 3-2026</t>
  </si>
  <si>
    <t xml:space="preserve">2026-09-09 09:00</t>
  </si>
  <si>
    <t xml:space="preserve">Tab 1 updated discussion with Requestor and Meciej 42 documents calling on page Navigation structure done first time to analyze it checked other nodes 4 tabs updates done QA feedback Excel status.</t>
  </si>
  <si>
    <t xml:space="preserve">712020:78e66a78-0beb-4cac-8465-d16f601ab653</t>
  </si>
  <si>
    <t xml:space="preserve">2026-09-10 11:27</t>
  </si>
  <si>
    <t xml:space="preserve">88254</t>
  </si>
  <si>
    <t xml:space="preserve">2026-09-10 08:00</t>
  </si>
  <si>
    <t xml:space="preserve">88244</t>
  </si>
  <si>
    <t xml:space="preserve">2026-09-10 09:00</t>
  </si>
  <si>
    <t xml:space="preserve">Nl Master 112 links master and 112 links in NL Country </t>
  </si>
  <si>
    <t xml:space="preserve">2026-09-10 11:34</t>
  </si>
  <si>
    <t xml:space="preserve">88255</t>
  </si>
  <si>
    <t xml:space="preserve">2026-09-11 08:00</t>
  </si>
  <si>
    <t xml:space="preserve">Activation for all countries and live review </t>
  </si>
  <si>
    <t xml:space="preserve">2026-09-11 14:34</t>
  </si>
  <si>
    <t xml:space="preserve">88339</t>
  </si>
  <si>
    <t xml:space="preserve">2026-09-11 09:30</t>
  </si>
  <si>
    <t xml:space="preserve">88340</t>
  </si>
  <si>
    <t xml:space="preserve">2026-09-11 10:30</t>
  </si>
  <si>
    <t xml:space="preserve">Translation and Correction received in the teams chat from requestor CH_DE Connect with Requestor  </t>
  </si>
  <si>
    <t xml:space="preserve">2026-09-11 14:37</t>
  </si>
  <si>
    <t xml:space="preserve">88344</t>
  </si>
  <si>
    <t xml:space="preserve">CWL-2970</t>
  </si>
  <si>
    <t xml:space="preserve">myPhonak</t>
  </si>
  <si>
    <t xml:space="preserve">2026-09-21 08:00</t>
  </si>
  <si>
    <t xml:space="preserve">WAITING FOR REQUEST INFORMATION</t>
  </si>
  <si>
    <t xml:space="preserve">Tried several structure to create following section “myPhonak” “myPhonak Junior” “myRogerMic” Had Discussion with Requestor and DPC owner Added Videos on page</t>
  </si>
  <si>
    <t xml:space="preserve">70121:5c3aae32-8e58-44c5-8bf3-1cf71df78570</t>
  </si>
  <si>
    <t xml:space="preserve">2026-09-23 07:15</t>
  </si>
  <si>
    <t xml:space="preserve">88811</t>
  </si>
  <si>
    <t xml:space="preserve">2026-09-21 11:00</t>
  </si>
  <si>
    <t xml:space="preserve">2026-09-23 07:16</t>
  </si>
  <si>
    <t xml:space="preserve">88812</t>
  </si>
  <si>
    <t xml:space="preserve">2026-09-21 12:00</t>
  </si>
  <si>
    <t xml:space="preserve">NL- Links and QA feedback </t>
  </si>
  <si>
    <t xml:space="preserve">2026-09-23 07:19</t>
  </si>
  <si>
    <t xml:space="preserve">88815</t>
  </si>
  <si>
    <t xml:space="preserve">2026-09-22 08:00</t>
  </si>
  <si>
    <t xml:space="preserve">As discussed with requestor created navigation changes for that created the pages for “myPhonak” “myPhonak Junior” “myRogerMic”  Videos added in MyPhonak page</t>
  </si>
  <si>
    <t xml:space="preserve">2026-09-23 07:17</t>
  </si>
  <si>
    <t xml:space="preserve">88813</t>
  </si>
  <si>
    <t xml:space="preserve">2026-09-22 09:30</t>
  </si>
  <si>
    <t xml:space="preserve">2026-09-23 07:18</t>
  </si>
  <si>
    <t xml:space="preserve">88814</t>
  </si>
  <si>
    <t xml:space="preserve">2026-09-22 10:30</t>
  </si>
  <si>
    <t xml:space="preserve">NL master and countries Done </t>
  </si>
  <si>
    <t xml:space="preserve">88816</t>
  </si>
  <si>
    <t xml:space="preserve">2026-09-23 08:00</t>
  </si>
  <si>
    <t xml:space="preserve">2026-09-25 13:39</t>
  </si>
  <si>
    <t xml:space="preserve">88927</t>
  </si>
  <si>
    <t xml:space="preserve">2026-09-23 09:00</t>
  </si>
  <si>
    <t xml:space="preserve">Qa feedback, rolloutNL and activation DK</t>
  </si>
  <si>
    <t xml:space="preserve">2026-09-25 16:01</t>
  </si>
  <si>
    <t xml:space="preserve">88959</t>
  </si>
  <si>
    <t xml:space="preserve">CWL-2971</t>
  </si>
  <si>
    <t xml:space="preserve">PH_S3 Localization SV</t>
  </si>
  <si>
    <t xml:space="preserve">2026-09-23 12:00</t>
  </si>
  <si>
    <t xml:space="preserve">WAITING FOR APPROVAL (MIGRATED)</t>
  </si>
  <si>
    <t xml:space="preserve">CF SV master done and country 50% done </t>
  </si>
  <si>
    <t xml:space="preserve">2026-09-25 16:02</t>
  </si>
  <si>
    <t xml:space="preserve">88960</t>
  </si>
  <si>
    <t xml:space="preserve">2026-09-24 08:00</t>
  </si>
  <si>
    <t xml:space="preserve">2026-09-25 13:40</t>
  </si>
  <si>
    <t xml:space="preserve">88928</t>
  </si>
  <si>
    <t xml:space="preserve">2026-09-24 09:00</t>
  </si>
  <si>
    <t xml:space="preserve">Country CF remaining done, Pages master 12 done, QA feedback implemented </t>
  </si>
  <si>
    <t xml:space="preserve">2026-09-25 16:04</t>
  </si>
  <si>
    <t xml:space="preserve">88961</t>
  </si>
  <si>
    <t xml:space="preserve">2026-09-25 08:00</t>
  </si>
  <si>
    <t xml:space="preserve">daily calls</t>
  </si>
  <si>
    <t xml:space="preserve">88929</t>
  </si>
  <si>
    <t xml:space="preserve">2026-09-25 09:00</t>
  </si>
  <si>
    <t xml:space="preserve">Master remaining 12 Done, Country rollout and CF, properties edits Done on 6 pages along with the QA feedback.</t>
  </si>
  <si>
    <t xml:space="preserve">2026-09-25 16:07</t>
  </si>
  <si>
    <t xml:space="preserve">88962</t>
  </si>
  <si>
    <t xml:space="preserve">2026-09-28 08:00</t>
  </si>
  <si>
    <t xml:space="preserve">Activation of DK two times due to activation issue, Live review</t>
  </si>
  <si>
    <t xml:space="preserve">2026-09-28 14:42</t>
  </si>
  <si>
    <t xml:space="preserve">89090</t>
  </si>
  <si>
    <t xml:space="preserve">2026-09-28 10:45</t>
  </si>
  <si>
    <t xml:space="preserve">89091</t>
  </si>
  <si>
    <t xml:space="preserve">2026-09-28 11:45</t>
  </si>
  <si>
    <t xml:space="preserve">SV Country level, QA feedback Done, 3 CF image path fixed</t>
  </si>
  <si>
    <t xml:space="preserve">2026-09-28 14:48</t>
  </si>
  <si>
    <t xml:space="preserve">89093</t>
  </si>
  <si>
    <t xml:space="preserve">2026-09-29 08:00</t>
  </si>
  <si>
    <t xml:space="preserve">2026-10-01 11:30</t>
  </si>
  <si>
    <t xml:space="preserve">89259</t>
  </si>
  <si>
    <t xml:space="preserve">CWL-2998</t>
  </si>
  <si>
    <t xml:space="preserve">PH_S3 Localization HU- go-oct 12</t>
  </si>
  <si>
    <t xml:space="preserve">2026-09-29 09:00</t>
  </si>
  <si>
    <t xml:space="preserve">TICKET ACKNOWLEDGEMENT</t>
  </si>
  <si>
    <t xml:space="preserve">100 CF completed 3 master pages done</t>
  </si>
  <si>
    <t xml:space="preserve">2026-10-01 11:33</t>
  </si>
  <si>
    <t xml:space="preserve">89261</t>
  </si>
  <si>
    <t xml:space="preserve">CWL-2920</t>
  </si>
  <si>
    <t xml:space="preserve">HT_Website_France-S3-2026 Update</t>
  </si>
  <si>
    <t xml:space="preserve">2026-09-30 08:00</t>
  </si>
  <si>
    <t xml:space="preserve">Comparing with localization document, Activation and Live review</t>
  </si>
  <si>
    <t xml:space="preserve">2026-09-30 07:19</t>
  </si>
  <si>
    <t xml:space="preserve">89170</t>
  </si>
  <si>
    <t xml:space="preserve">2026-09-30 08:30</t>
  </si>
  <si>
    <t xml:space="preserve">2026-10-01 11:31</t>
  </si>
  <si>
    <t xml:space="preserve">89260</t>
  </si>
  <si>
    <t xml:space="preserve">2026-09-30 09:30</t>
  </si>
  <si>
    <t xml:space="preserve">20 Master pages completed, QA feedback completed </t>
  </si>
  <si>
    <t xml:space="preserve">2026-10-01 11:34</t>
  </si>
  <si>
    <t xml:space="preserve">89262</t>
  </si>
  <si>
    <t xml:space="preserve">Work Item</t>
  </si>
  <si>
    <t xml:space="preserve">Hours</t>
  </si>
  <si>
    <t xml:space="preserve">Minutes</t>
  </si>
  <si>
    <t xml:space="preserve">Work Date</t>
  </si>
  <si>
    <t xml:space="preserve">Planned Hours</t>
  </si>
  <si>
    <t xml:space="preserve">Planned Seconds</t>
  </si>
  <si>
    <t xml:space="preserve">Required Hours</t>
  </si>
  <si>
    <t xml:space="preserve">Required Seconds</t>
  </si>
  <si>
    <t xml:space="preserve">Progress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</si>
  <si>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</si>
  <si>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</si>
  <si>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</si>
  <si>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</si>
  <si>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</si>
  <si>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</si>
  <si>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</si>
  <si>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</si>
  <si>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</si>
  <si>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</si>
  <si>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</si>
  <si>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</si>
  <si>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</si>
  <si>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</si>
  <si>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</si>
  <si>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</si>
  <si>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</si>
  <si>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</si>
  <si>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</si>
  <si>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</si>
  <si>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</si>
  <si>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</si>
  <si>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</si>
  <si>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</si>
  <si>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</si>
  <si>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</si>
  <si>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</si>
  <si>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</si>
  <si>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</si>
  <si>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</si>
  <si>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Ready to submit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</si>
</sst>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m\-yy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customFormat="false" ht="15" hidden="false" customHeight="false" outlineLevel="0" collapsed="false">
      <c r="A2" s="0" t="s">
        <v>47</v>
      </c>
      <c r="B2" s="0" t="s">
        <v>48</v>
      </c>
      <c r="C2" s="0" t="n">
        <v>5.333</v>
      </c>
      <c r="D2" s="0" t="n">
        <v>19200</v>
      </c>
      <c r="E2" s="0" t="s">
        <v>49</v>
      </c>
      <c r="F2" s="0" t="s">
        <v>50</v>
      </c>
      <c r="G2" s="0" t="s">
        <v>51</v>
      </c>
      <c r="H2" s="0" t="s">
        <v>52</v>
      </c>
      <c r="I2" s="0" t="s">
        <v>53</v>
      </c>
      <c r="L2" s="0" t="s">
        <v>54</v>
      </c>
      <c r="V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55</v>
      </c>
      <c r="AG2" s="0" t="s">
        <v>60</v>
      </c>
      <c r="AI2" s="0" t="s">
        <v>61</v>
      </c>
      <c r="AJ2" s="0" t="s">
        <v>61</v>
      </c>
      <c r="AL2" s="0" t="n">
        <v>5.333</v>
      </c>
      <c r="AM2" s="0" t="n">
        <v>19200</v>
      </c>
      <c r="AR2" s="0" t="s">
        <v>62</v>
      </c>
      <c r="AS2" s="0" t="s">
        <v>63</v>
      </c>
      <c r="AT2" s="0" t="s">
        <v>63</v>
      </c>
      <c r="AU2" s="0" t="s">
        <v>64</v>
      </c>
    </row>
    <row r="3" customFormat="false" ht="15" hidden="false" customHeight="false" outlineLevel="0" collapsed="false">
      <c r="A3" s="0" t="s">
        <v>65</v>
      </c>
      <c r="B3" s="0" t="s">
        <v>66</v>
      </c>
      <c r="C3" s="0" t="n">
        <v>1</v>
      </c>
      <c r="D3" s="0" t="n">
        <v>3600</v>
      </c>
      <c r="E3" s="0" t="s">
        <v>67</v>
      </c>
      <c r="F3" s="0" t="s">
        <v>50</v>
      </c>
      <c r="G3" s="0" t="s">
        <v>51</v>
      </c>
      <c r="H3" s="0" t="s">
        <v>52</v>
      </c>
      <c r="I3" s="0" t="s">
        <v>53</v>
      </c>
      <c r="L3" s="0" t="s">
        <v>54</v>
      </c>
      <c r="V3" s="0" t="s">
        <v>55</v>
      </c>
      <c r="Z3" s="0" t="s">
        <v>30</v>
      </c>
      <c r="AA3" s="0" t="s">
        <v>68</v>
      </c>
      <c r="AB3" s="0" t="s">
        <v>58</v>
      </c>
      <c r="AC3" s="0" t="s">
        <v>59</v>
      </c>
      <c r="AD3" s="0" t="s">
        <v>55</v>
      </c>
      <c r="AE3" s="0" t="s">
        <v>66</v>
      </c>
      <c r="AG3" s="0" t="s">
        <v>69</v>
      </c>
      <c r="AI3" s="0" t="s">
        <v>70</v>
      </c>
      <c r="AJ3" s="0" t="s">
        <v>70</v>
      </c>
      <c r="AL3" s="0" t="n">
        <v>1</v>
      </c>
      <c r="AM3" s="0" t="n">
        <v>3600</v>
      </c>
      <c r="AN3" s="0" t="n">
        <v>240</v>
      </c>
      <c r="AO3" s="0" t="n">
        <v>864000</v>
      </c>
      <c r="AP3" s="0" t="n">
        <v>104.5</v>
      </c>
      <c r="AQ3" s="0" t="n">
        <v>376200</v>
      </c>
      <c r="AR3" s="0" t="s">
        <v>62</v>
      </c>
      <c r="AS3" s="0" t="s">
        <v>71</v>
      </c>
      <c r="AT3" s="0" t="s">
        <v>71</v>
      </c>
      <c r="AU3" s="0" t="s">
        <v>72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n">
        <v>6.5</v>
      </c>
      <c r="D4" s="0" t="n">
        <v>23400</v>
      </c>
      <c r="E4" s="0" t="s">
        <v>73</v>
      </c>
      <c r="F4" s="0" t="s">
        <v>50</v>
      </c>
      <c r="G4" s="0" t="s">
        <v>51</v>
      </c>
      <c r="H4" s="0" t="s">
        <v>52</v>
      </c>
      <c r="I4" s="0" t="s">
        <v>53</v>
      </c>
      <c r="L4" s="0" t="s">
        <v>54</v>
      </c>
      <c r="V4" s="0" t="s">
        <v>55</v>
      </c>
      <c r="Z4" s="0" t="s">
        <v>56</v>
      </c>
      <c r="AA4" s="0" t="s">
        <v>57</v>
      </c>
      <c r="AB4" s="0" t="s">
        <v>58</v>
      </c>
      <c r="AC4" s="0" t="s">
        <v>59</v>
      </c>
      <c r="AD4" s="0" t="s">
        <v>55</v>
      </c>
      <c r="AG4" s="0" t="s">
        <v>74</v>
      </c>
      <c r="AI4" s="0" t="s">
        <v>61</v>
      </c>
      <c r="AJ4" s="0" t="s">
        <v>61</v>
      </c>
      <c r="AL4" s="0" t="n">
        <v>6.5</v>
      </c>
      <c r="AM4" s="0" t="n">
        <v>23400</v>
      </c>
      <c r="AR4" s="0" t="s">
        <v>62</v>
      </c>
      <c r="AS4" s="0" t="s">
        <v>71</v>
      </c>
      <c r="AT4" s="0" t="s">
        <v>71</v>
      </c>
      <c r="AU4" s="0" t="s">
        <v>75</v>
      </c>
    </row>
    <row r="5" customFormat="false" ht="15" hidden="false" customHeight="false" outlineLevel="0" collapsed="false">
      <c r="A5" s="0" t="s">
        <v>65</v>
      </c>
      <c r="B5" s="0" t="s">
        <v>66</v>
      </c>
      <c r="C5" s="0" t="n">
        <v>1</v>
      </c>
      <c r="D5" s="0" t="n">
        <v>3600</v>
      </c>
      <c r="E5" s="0" t="s">
        <v>76</v>
      </c>
      <c r="F5" s="0" t="s">
        <v>50</v>
      </c>
      <c r="G5" s="0" t="s">
        <v>51</v>
      </c>
      <c r="H5" s="0" t="s">
        <v>52</v>
      </c>
      <c r="I5" s="0" t="s">
        <v>53</v>
      </c>
      <c r="L5" s="0" t="s">
        <v>54</v>
      </c>
      <c r="V5" s="0" t="s">
        <v>55</v>
      </c>
      <c r="Z5" s="0" t="s">
        <v>30</v>
      </c>
      <c r="AA5" s="0" t="s">
        <v>68</v>
      </c>
      <c r="AB5" s="0" t="s">
        <v>58</v>
      </c>
      <c r="AC5" s="0" t="s">
        <v>59</v>
      </c>
      <c r="AD5" s="0" t="s">
        <v>55</v>
      </c>
      <c r="AE5" s="0" t="s">
        <v>66</v>
      </c>
      <c r="AG5" s="0" t="s">
        <v>69</v>
      </c>
      <c r="AI5" s="0" t="s">
        <v>70</v>
      </c>
      <c r="AJ5" s="0" t="s">
        <v>70</v>
      </c>
      <c r="AL5" s="0" t="n">
        <v>1</v>
      </c>
      <c r="AM5" s="0" t="n">
        <v>3600</v>
      </c>
      <c r="AN5" s="0" t="n">
        <v>240</v>
      </c>
      <c r="AO5" s="0" t="n">
        <v>864000</v>
      </c>
      <c r="AP5" s="0" t="n">
        <v>104.5</v>
      </c>
      <c r="AQ5" s="0" t="n">
        <v>376200</v>
      </c>
      <c r="AR5" s="0" t="s">
        <v>62</v>
      </c>
      <c r="AS5" s="0" t="s">
        <v>71</v>
      </c>
      <c r="AT5" s="0" t="s">
        <v>71</v>
      </c>
      <c r="AU5" s="0" t="s">
        <v>77</v>
      </c>
    </row>
    <row r="6" customFormat="false" ht="15" hidden="false" customHeight="false" outlineLevel="0" collapsed="false">
      <c r="A6" s="0" t="s">
        <v>78</v>
      </c>
      <c r="B6" s="0" t="s">
        <v>79</v>
      </c>
      <c r="C6" s="0" t="n">
        <v>0.167</v>
      </c>
      <c r="D6" s="0" t="n">
        <v>600</v>
      </c>
      <c r="E6" s="0" t="s">
        <v>80</v>
      </c>
      <c r="F6" s="0" t="s">
        <v>50</v>
      </c>
      <c r="G6" s="0" t="s">
        <v>51</v>
      </c>
      <c r="H6" s="0" t="s">
        <v>52</v>
      </c>
      <c r="I6" s="0" t="s">
        <v>53</v>
      </c>
      <c r="L6" s="0" t="s">
        <v>54</v>
      </c>
      <c r="V6" s="0" t="s">
        <v>55</v>
      </c>
      <c r="Z6" s="0" t="s">
        <v>56</v>
      </c>
      <c r="AA6" s="0" t="s">
        <v>57</v>
      </c>
      <c r="AB6" s="0" t="s">
        <v>58</v>
      </c>
      <c r="AC6" s="0" t="s">
        <v>59</v>
      </c>
      <c r="AD6" s="0" t="s">
        <v>55</v>
      </c>
      <c r="AG6" s="0" t="s">
        <v>81</v>
      </c>
      <c r="AI6" s="0" t="s">
        <v>82</v>
      </c>
      <c r="AJ6" s="0" t="s">
        <v>82</v>
      </c>
      <c r="AL6" s="0" t="n">
        <v>0.167</v>
      </c>
      <c r="AM6" s="0" t="n">
        <v>600</v>
      </c>
      <c r="AR6" s="0" t="s">
        <v>62</v>
      </c>
      <c r="AS6" s="0" t="s">
        <v>83</v>
      </c>
      <c r="AT6" s="0" t="s">
        <v>83</v>
      </c>
      <c r="AU6" s="0" t="s">
        <v>84</v>
      </c>
    </row>
    <row r="7" customFormat="false" ht="15" hidden="false" customHeight="false" outlineLevel="0" collapsed="false">
      <c r="A7" s="0" t="s">
        <v>85</v>
      </c>
      <c r="B7" s="0" t="s">
        <v>86</v>
      </c>
      <c r="C7" s="0" t="n">
        <v>0.333</v>
      </c>
      <c r="D7" s="0" t="n">
        <v>1200</v>
      </c>
      <c r="E7" s="0" t="s">
        <v>87</v>
      </c>
      <c r="F7" s="0" t="s">
        <v>50</v>
      </c>
      <c r="G7" s="0" t="s">
        <v>51</v>
      </c>
      <c r="H7" s="0" t="s">
        <v>52</v>
      </c>
      <c r="I7" s="0" t="s">
        <v>53</v>
      </c>
      <c r="L7" s="0" t="s">
        <v>54</v>
      </c>
      <c r="V7" s="0" t="s">
        <v>55</v>
      </c>
      <c r="Z7" s="0" t="s">
        <v>56</v>
      </c>
      <c r="AA7" s="0" t="s">
        <v>57</v>
      </c>
      <c r="AB7" s="0" t="s">
        <v>58</v>
      </c>
      <c r="AC7" s="0" t="s">
        <v>59</v>
      </c>
      <c r="AD7" s="0" t="s">
        <v>55</v>
      </c>
      <c r="AG7" s="0" t="s">
        <v>88</v>
      </c>
      <c r="AI7" s="0" t="s">
        <v>89</v>
      </c>
      <c r="AJ7" s="0" t="s">
        <v>89</v>
      </c>
      <c r="AL7" s="0" t="n">
        <v>0.333</v>
      </c>
      <c r="AM7" s="0" t="n">
        <v>1200</v>
      </c>
      <c r="AR7" s="0" t="s">
        <v>62</v>
      </c>
      <c r="AS7" s="0" t="s">
        <v>90</v>
      </c>
      <c r="AT7" s="0" t="s">
        <v>90</v>
      </c>
      <c r="AU7" s="0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n">
        <v>0.167</v>
      </c>
      <c r="D8" s="0" t="n">
        <v>600</v>
      </c>
      <c r="E8" s="0" t="s">
        <v>94</v>
      </c>
      <c r="F8" s="0" t="s">
        <v>50</v>
      </c>
      <c r="G8" s="0" t="s">
        <v>51</v>
      </c>
      <c r="H8" s="0" t="s">
        <v>52</v>
      </c>
      <c r="I8" s="0" t="s">
        <v>53</v>
      </c>
      <c r="L8" s="0" t="s">
        <v>54</v>
      </c>
      <c r="V8" s="0" t="s">
        <v>55</v>
      </c>
      <c r="Z8" s="0" t="s">
        <v>56</v>
      </c>
      <c r="AA8" s="0" t="s">
        <v>57</v>
      </c>
      <c r="AB8" s="0" t="s">
        <v>58</v>
      </c>
      <c r="AC8" s="0" t="s">
        <v>59</v>
      </c>
      <c r="AD8" s="0" t="s">
        <v>55</v>
      </c>
      <c r="AG8" s="0" t="s">
        <v>81</v>
      </c>
      <c r="AI8" s="0" t="s">
        <v>89</v>
      </c>
      <c r="AJ8" s="0" t="s">
        <v>89</v>
      </c>
      <c r="AL8" s="0" t="n">
        <v>0.167</v>
      </c>
      <c r="AM8" s="0" t="n">
        <v>600</v>
      </c>
      <c r="AR8" s="0" t="s">
        <v>62</v>
      </c>
      <c r="AS8" s="0" t="s">
        <v>90</v>
      </c>
      <c r="AT8" s="0" t="s">
        <v>90</v>
      </c>
      <c r="AU8" s="0" t="s">
        <v>95</v>
      </c>
    </row>
    <row r="9" customFormat="false" ht="15" hidden="false" customHeight="false" outlineLevel="0" collapsed="false">
      <c r="A9" s="0" t="s">
        <v>65</v>
      </c>
      <c r="B9" s="0" t="s">
        <v>66</v>
      </c>
      <c r="C9" s="0" t="n">
        <v>1</v>
      </c>
      <c r="D9" s="0" t="n">
        <v>3600</v>
      </c>
      <c r="E9" s="0" t="s">
        <v>96</v>
      </c>
      <c r="F9" s="0" t="s">
        <v>50</v>
      </c>
      <c r="G9" s="0" t="s">
        <v>51</v>
      </c>
      <c r="H9" s="0" t="s">
        <v>52</v>
      </c>
      <c r="I9" s="0" t="s">
        <v>53</v>
      </c>
      <c r="L9" s="0" t="s">
        <v>54</v>
      </c>
      <c r="V9" s="0" t="s">
        <v>55</v>
      </c>
      <c r="Z9" s="0" t="s">
        <v>30</v>
      </c>
      <c r="AA9" s="0" t="s">
        <v>68</v>
      </c>
      <c r="AB9" s="0" t="s">
        <v>58</v>
      </c>
      <c r="AC9" s="0" t="s">
        <v>59</v>
      </c>
      <c r="AD9" s="0" t="s">
        <v>55</v>
      </c>
      <c r="AE9" s="0" t="s">
        <v>66</v>
      </c>
      <c r="AG9" s="0" t="s">
        <v>69</v>
      </c>
      <c r="AI9" s="0" t="s">
        <v>70</v>
      </c>
      <c r="AJ9" s="0" t="s">
        <v>70</v>
      </c>
      <c r="AL9" s="0" t="n">
        <v>1</v>
      </c>
      <c r="AM9" s="0" t="n">
        <v>3600</v>
      </c>
      <c r="AN9" s="0" t="n">
        <v>240</v>
      </c>
      <c r="AO9" s="0" t="n">
        <v>864000</v>
      </c>
      <c r="AP9" s="0" t="n">
        <v>104.5</v>
      </c>
      <c r="AQ9" s="0" t="n">
        <v>376200</v>
      </c>
      <c r="AR9" s="0" t="s">
        <v>62</v>
      </c>
      <c r="AS9" s="0" t="s">
        <v>97</v>
      </c>
      <c r="AT9" s="0" t="s">
        <v>97</v>
      </c>
      <c r="AU9" s="0" t="s">
        <v>98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n">
        <v>0.333</v>
      </c>
      <c r="D10" s="0" t="n">
        <v>1200</v>
      </c>
      <c r="E10" s="0" t="s">
        <v>99</v>
      </c>
      <c r="F10" s="0" t="s">
        <v>50</v>
      </c>
      <c r="G10" s="0" t="s">
        <v>51</v>
      </c>
      <c r="H10" s="0" t="s">
        <v>52</v>
      </c>
      <c r="I10" s="0" t="s">
        <v>53</v>
      </c>
      <c r="L10" s="0" t="s">
        <v>54</v>
      </c>
      <c r="V10" s="0" t="s">
        <v>55</v>
      </c>
      <c r="Z10" s="0" t="s">
        <v>56</v>
      </c>
      <c r="AA10" s="0" t="s">
        <v>57</v>
      </c>
      <c r="AB10" s="0" t="s">
        <v>58</v>
      </c>
      <c r="AC10" s="0" t="s">
        <v>59</v>
      </c>
      <c r="AD10" s="0" t="s">
        <v>55</v>
      </c>
      <c r="AG10" s="0" t="s">
        <v>100</v>
      </c>
      <c r="AI10" s="0" t="s">
        <v>61</v>
      </c>
      <c r="AJ10" s="0" t="s">
        <v>61</v>
      </c>
      <c r="AL10" s="0" t="n">
        <v>0.333</v>
      </c>
      <c r="AM10" s="0" t="n">
        <v>1200</v>
      </c>
      <c r="AR10" s="0" t="s">
        <v>62</v>
      </c>
      <c r="AS10" s="0" t="s">
        <v>101</v>
      </c>
      <c r="AT10" s="0" t="s">
        <v>101</v>
      </c>
      <c r="AU10" s="0" t="s">
        <v>102</v>
      </c>
    </row>
    <row r="11" customFormat="false" ht="15" hidden="false" customHeight="false" outlineLevel="0" collapsed="false">
      <c r="A11" s="0" t="s">
        <v>103</v>
      </c>
      <c r="B11" s="0" t="s">
        <v>104</v>
      </c>
      <c r="C11" s="0" t="n">
        <v>6</v>
      </c>
      <c r="D11" s="0" t="n">
        <v>21600</v>
      </c>
      <c r="E11" s="0" t="s">
        <v>105</v>
      </c>
      <c r="F11" s="0" t="s">
        <v>50</v>
      </c>
      <c r="G11" s="0" t="s">
        <v>51</v>
      </c>
      <c r="H11" s="0" t="s">
        <v>52</v>
      </c>
      <c r="I11" s="0" t="s">
        <v>53</v>
      </c>
      <c r="L11" s="0" t="s">
        <v>54</v>
      </c>
      <c r="V11" s="0" t="s">
        <v>55</v>
      </c>
      <c r="Z11" s="0" t="s">
        <v>56</v>
      </c>
      <c r="AA11" s="0" t="s">
        <v>57</v>
      </c>
      <c r="AB11" s="0" t="s">
        <v>58</v>
      </c>
      <c r="AC11" s="0" t="s">
        <v>59</v>
      </c>
      <c r="AD11" s="0" t="s">
        <v>55</v>
      </c>
      <c r="AF11" s="0" t="s">
        <v>106</v>
      </c>
      <c r="AG11" s="0" t="s">
        <v>107</v>
      </c>
      <c r="AH11" s="0" t="s">
        <v>108</v>
      </c>
      <c r="AI11" s="0" t="s">
        <v>109</v>
      </c>
      <c r="AJ11" s="0" t="s">
        <v>109</v>
      </c>
      <c r="AL11" s="0" t="n">
        <v>6</v>
      </c>
      <c r="AM11" s="0" t="n">
        <v>21600</v>
      </c>
      <c r="AN11" s="0" t="n">
        <v>8</v>
      </c>
      <c r="AO11" s="0" t="n">
        <v>28800</v>
      </c>
      <c r="AP11" s="0" t="n">
        <v>0</v>
      </c>
      <c r="AQ11" s="0" t="n">
        <v>0</v>
      </c>
      <c r="AR11" s="0" t="s">
        <v>62</v>
      </c>
      <c r="AS11" s="0" t="s">
        <v>110</v>
      </c>
      <c r="AT11" s="0" t="s">
        <v>110</v>
      </c>
      <c r="AU11" s="0" t="s">
        <v>111</v>
      </c>
    </row>
    <row r="12" customFormat="false" ht="15" hidden="false" customHeight="false" outlineLevel="0" collapsed="false">
      <c r="A12" s="0" t="s">
        <v>65</v>
      </c>
      <c r="B12" s="0" t="s">
        <v>66</v>
      </c>
      <c r="C12" s="0" t="n">
        <v>1</v>
      </c>
      <c r="D12" s="0" t="n">
        <v>3600</v>
      </c>
      <c r="E12" s="0" t="s">
        <v>112</v>
      </c>
      <c r="F12" s="0" t="s">
        <v>50</v>
      </c>
      <c r="G12" s="0" t="s">
        <v>51</v>
      </c>
      <c r="H12" s="0" t="s">
        <v>52</v>
      </c>
      <c r="I12" s="0" t="s">
        <v>53</v>
      </c>
      <c r="L12" s="0" t="s">
        <v>54</v>
      </c>
      <c r="V12" s="0" t="s">
        <v>55</v>
      </c>
      <c r="Z12" s="0" t="s">
        <v>30</v>
      </c>
      <c r="AA12" s="0" t="s">
        <v>68</v>
      </c>
      <c r="AB12" s="0" t="s">
        <v>58</v>
      </c>
      <c r="AC12" s="0" t="s">
        <v>59</v>
      </c>
      <c r="AD12" s="0" t="s">
        <v>55</v>
      </c>
      <c r="AE12" s="0" t="s">
        <v>66</v>
      </c>
      <c r="AG12" s="0" t="s">
        <v>69</v>
      </c>
      <c r="AI12" s="0" t="s">
        <v>70</v>
      </c>
      <c r="AJ12" s="0" t="s">
        <v>70</v>
      </c>
      <c r="AL12" s="0" t="n">
        <v>1</v>
      </c>
      <c r="AM12" s="0" t="n">
        <v>3600</v>
      </c>
      <c r="AN12" s="0" t="n">
        <v>240</v>
      </c>
      <c r="AO12" s="0" t="n">
        <v>864000</v>
      </c>
      <c r="AP12" s="0" t="n">
        <v>104.5</v>
      </c>
      <c r="AQ12" s="0" t="n">
        <v>376200</v>
      </c>
      <c r="AR12" s="0" t="s">
        <v>62</v>
      </c>
      <c r="AS12" s="0" t="s">
        <v>113</v>
      </c>
      <c r="AT12" s="0" t="s">
        <v>113</v>
      </c>
      <c r="AU12" s="0" t="s">
        <v>114</v>
      </c>
    </row>
    <row r="13" customFormat="false" ht="15" hidden="false" customHeight="false" outlineLevel="0" collapsed="false">
      <c r="A13" s="0" t="s">
        <v>103</v>
      </c>
      <c r="B13" s="0" t="s">
        <v>104</v>
      </c>
      <c r="C13" s="0" t="n">
        <v>6.8</v>
      </c>
      <c r="D13" s="0" t="n">
        <v>24480</v>
      </c>
      <c r="E13" s="0" t="s">
        <v>115</v>
      </c>
      <c r="F13" s="0" t="s">
        <v>50</v>
      </c>
      <c r="G13" s="0" t="s">
        <v>51</v>
      </c>
      <c r="H13" s="0" t="s">
        <v>52</v>
      </c>
      <c r="I13" s="0" t="s">
        <v>53</v>
      </c>
      <c r="L13" s="0" t="s">
        <v>54</v>
      </c>
      <c r="V13" s="0" t="s">
        <v>55</v>
      </c>
      <c r="Z13" s="0" t="s">
        <v>56</v>
      </c>
      <c r="AA13" s="0" t="s">
        <v>57</v>
      </c>
      <c r="AB13" s="0" t="s">
        <v>58</v>
      </c>
      <c r="AC13" s="0" t="s">
        <v>59</v>
      </c>
      <c r="AD13" s="0" t="s">
        <v>55</v>
      </c>
      <c r="AF13" s="0" t="s">
        <v>106</v>
      </c>
      <c r="AG13" s="0" t="s">
        <v>116</v>
      </c>
      <c r="AH13" s="0" t="s">
        <v>108</v>
      </c>
      <c r="AI13" s="0" t="s">
        <v>109</v>
      </c>
      <c r="AJ13" s="0" t="s">
        <v>109</v>
      </c>
      <c r="AL13" s="0" t="n">
        <v>6.8</v>
      </c>
      <c r="AM13" s="0" t="n">
        <v>24480</v>
      </c>
      <c r="AN13" s="0" t="n">
        <v>8</v>
      </c>
      <c r="AO13" s="0" t="n">
        <v>28800</v>
      </c>
      <c r="AP13" s="0" t="n">
        <v>0</v>
      </c>
      <c r="AQ13" s="0" t="n">
        <v>0</v>
      </c>
      <c r="AR13" s="0" t="s">
        <v>62</v>
      </c>
      <c r="AS13" s="0" t="s">
        <v>117</v>
      </c>
      <c r="AT13" s="0" t="s">
        <v>117</v>
      </c>
      <c r="AU13" s="0" t="s">
        <v>118</v>
      </c>
    </row>
    <row r="14" customFormat="false" ht="15" hidden="false" customHeight="false" outlineLevel="0" collapsed="false">
      <c r="A14" s="0" t="s">
        <v>65</v>
      </c>
      <c r="B14" s="0" t="s">
        <v>66</v>
      </c>
      <c r="C14" s="0" t="n">
        <v>1</v>
      </c>
      <c r="D14" s="0" t="n">
        <v>3600</v>
      </c>
      <c r="E14" s="0" t="s">
        <v>119</v>
      </c>
      <c r="F14" s="0" t="s">
        <v>50</v>
      </c>
      <c r="G14" s="0" t="s">
        <v>51</v>
      </c>
      <c r="H14" s="0" t="s">
        <v>52</v>
      </c>
      <c r="I14" s="0" t="s">
        <v>53</v>
      </c>
      <c r="L14" s="0" t="s">
        <v>54</v>
      </c>
      <c r="V14" s="0" t="s">
        <v>55</v>
      </c>
      <c r="Z14" s="0" t="s">
        <v>30</v>
      </c>
      <c r="AA14" s="0" t="s">
        <v>68</v>
      </c>
      <c r="AB14" s="0" t="s">
        <v>58</v>
      </c>
      <c r="AC14" s="0" t="s">
        <v>59</v>
      </c>
      <c r="AD14" s="0" t="s">
        <v>55</v>
      </c>
      <c r="AE14" s="0" t="s">
        <v>66</v>
      </c>
      <c r="AG14" s="0" t="s">
        <v>69</v>
      </c>
      <c r="AI14" s="0" t="s">
        <v>70</v>
      </c>
      <c r="AJ14" s="0" t="s">
        <v>70</v>
      </c>
      <c r="AL14" s="0" t="n">
        <v>1</v>
      </c>
      <c r="AM14" s="0" t="n">
        <v>3600</v>
      </c>
      <c r="AN14" s="0" t="n">
        <v>240</v>
      </c>
      <c r="AO14" s="0" t="n">
        <v>864000</v>
      </c>
      <c r="AP14" s="0" t="n">
        <v>104.5</v>
      </c>
      <c r="AQ14" s="0" t="n">
        <v>376200</v>
      </c>
      <c r="AR14" s="0" t="s">
        <v>62</v>
      </c>
      <c r="AS14" s="0" t="s">
        <v>120</v>
      </c>
      <c r="AT14" s="0" t="s">
        <v>120</v>
      </c>
      <c r="AU14" s="0" t="s">
        <v>121</v>
      </c>
    </row>
    <row r="15" customFormat="false" ht="15" hidden="false" customHeight="false" outlineLevel="0" collapsed="false">
      <c r="A15" s="0" t="s">
        <v>122</v>
      </c>
      <c r="B15" s="0" t="s">
        <v>123</v>
      </c>
      <c r="C15" s="0" t="n">
        <v>5</v>
      </c>
      <c r="D15" s="0" t="n">
        <v>18000</v>
      </c>
      <c r="E15" s="0" t="s">
        <v>124</v>
      </c>
      <c r="F15" s="0" t="s">
        <v>50</v>
      </c>
      <c r="G15" s="0" t="s">
        <v>51</v>
      </c>
      <c r="H15" s="0" t="s">
        <v>52</v>
      </c>
      <c r="I15" s="0" t="s">
        <v>53</v>
      </c>
      <c r="L15" s="0" t="s">
        <v>54</v>
      </c>
      <c r="V15" s="0" t="s">
        <v>55</v>
      </c>
      <c r="Z15" s="0" t="s">
        <v>56</v>
      </c>
      <c r="AA15" s="0" t="s">
        <v>125</v>
      </c>
      <c r="AB15" s="0" t="s">
        <v>58</v>
      </c>
      <c r="AC15" s="0" t="s">
        <v>59</v>
      </c>
      <c r="AD15" s="0" t="s">
        <v>55</v>
      </c>
      <c r="AG15" s="0" t="s">
        <v>126</v>
      </c>
      <c r="AI15" s="0" t="s">
        <v>109</v>
      </c>
      <c r="AJ15" s="0" t="s">
        <v>127</v>
      </c>
      <c r="AL15" s="0" t="n">
        <v>5</v>
      </c>
      <c r="AM15" s="0" t="n">
        <v>18000</v>
      </c>
      <c r="AN15" s="0" t="n">
        <v>24</v>
      </c>
      <c r="AO15" s="0" t="n">
        <v>86400</v>
      </c>
      <c r="AP15" s="0" t="n">
        <v>0</v>
      </c>
      <c r="AQ15" s="0" t="n">
        <v>0</v>
      </c>
      <c r="AR15" s="0" t="s">
        <v>62</v>
      </c>
      <c r="AS15" s="0" t="s">
        <v>128</v>
      </c>
      <c r="AT15" s="0" t="s">
        <v>128</v>
      </c>
      <c r="AU15" s="0" t="s">
        <v>129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n">
        <v>1</v>
      </c>
      <c r="D16" s="0" t="n">
        <v>3600</v>
      </c>
      <c r="E16" s="0" t="s">
        <v>130</v>
      </c>
      <c r="F16" s="0" t="s">
        <v>50</v>
      </c>
      <c r="G16" s="0" t="s">
        <v>51</v>
      </c>
      <c r="H16" s="0" t="s">
        <v>52</v>
      </c>
      <c r="I16" s="0" t="s">
        <v>53</v>
      </c>
      <c r="L16" s="0" t="s">
        <v>54</v>
      </c>
      <c r="V16" s="0" t="s">
        <v>55</v>
      </c>
      <c r="Z16" s="0" t="s">
        <v>30</v>
      </c>
      <c r="AA16" s="0" t="s">
        <v>68</v>
      </c>
      <c r="AB16" s="0" t="s">
        <v>58</v>
      </c>
      <c r="AC16" s="0" t="s">
        <v>59</v>
      </c>
      <c r="AD16" s="0" t="s">
        <v>55</v>
      </c>
      <c r="AE16" s="0" t="s">
        <v>66</v>
      </c>
      <c r="AG16" s="0" t="s">
        <v>69</v>
      </c>
      <c r="AI16" s="0" t="s">
        <v>70</v>
      </c>
      <c r="AJ16" s="0" t="s">
        <v>70</v>
      </c>
      <c r="AL16" s="0" t="n">
        <v>1</v>
      </c>
      <c r="AM16" s="0" t="n">
        <v>3600</v>
      </c>
      <c r="AN16" s="0" t="n">
        <v>240</v>
      </c>
      <c r="AO16" s="0" t="n">
        <v>864000</v>
      </c>
      <c r="AP16" s="0" t="n">
        <v>104.5</v>
      </c>
      <c r="AQ16" s="0" t="n">
        <v>376200</v>
      </c>
      <c r="AR16" s="0" t="s">
        <v>62</v>
      </c>
      <c r="AS16" s="0" t="s">
        <v>131</v>
      </c>
      <c r="AT16" s="0" t="s">
        <v>131</v>
      </c>
      <c r="AU16" s="0" t="s">
        <v>132</v>
      </c>
    </row>
    <row r="17" customFormat="false" ht="15" hidden="false" customHeight="false" outlineLevel="0" collapsed="false">
      <c r="A17" s="0" t="s">
        <v>122</v>
      </c>
      <c r="B17" s="0" t="s">
        <v>123</v>
      </c>
      <c r="C17" s="0" t="n">
        <v>5.167</v>
      </c>
      <c r="D17" s="0" t="n">
        <v>18600</v>
      </c>
      <c r="E17" s="0" t="s">
        <v>133</v>
      </c>
      <c r="F17" s="0" t="s">
        <v>50</v>
      </c>
      <c r="G17" s="0" t="s">
        <v>51</v>
      </c>
      <c r="H17" s="0" t="s">
        <v>52</v>
      </c>
      <c r="I17" s="0" t="s">
        <v>53</v>
      </c>
      <c r="L17" s="0" t="s">
        <v>54</v>
      </c>
      <c r="V17" s="0" t="s">
        <v>55</v>
      </c>
      <c r="Z17" s="0" t="s">
        <v>56</v>
      </c>
      <c r="AA17" s="0" t="s">
        <v>125</v>
      </c>
      <c r="AB17" s="0" t="s">
        <v>58</v>
      </c>
      <c r="AC17" s="0" t="s">
        <v>59</v>
      </c>
      <c r="AD17" s="0" t="s">
        <v>55</v>
      </c>
      <c r="AG17" s="0" t="s">
        <v>134</v>
      </c>
      <c r="AI17" s="0" t="s">
        <v>109</v>
      </c>
      <c r="AJ17" s="0" t="s">
        <v>127</v>
      </c>
      <c r="AL17" s="0" t="n">
        <v>5.167</v>
      </c>
      <c r="AM17" s="0" t="n">
        <v>18600</v>
      </c>
      <c r="AN17" s="0" t="n">
        <v>24</v>
      </c>
      <c r="AO17" s="0" t="n">
        <v>86400</v>
      </c>
      <c r="AP17" s="0" t="n">
        <v>0</v>
      </c>
      <c r="AQ17" s="0" t="n">
        <v>0</v>
      </c>
      <c r="AR17" s="0" t="s">
        <v>62</v>
      </c>
      <c r="AS17" s="0" t="s">
        <v>135</v>
      </c>
      <c r="AT17" s="0" t="s">
        <v>135</v>
      </c>
      <c r="AU17" s="0" t="s">
        <v>136</v>
      </c>
    </row>
    <row r="18" customFormat="false" ht="15" hidden="false" customHeight="false" outlineLevel="0" collapsed="false">
      <c r="A18" s="0" t="s">
        <v>65</v>
      </c>
      <c r="B18" s="0" t="s">
        <v>66</v>
      </c>
      <c r="C18" s="0" t="n">
        <v>1</v>
      </c>
      <c r="D18" s="0" t="n">
        <v>3600</v>
      </c>
      <c r="E18" s="0" t="s">
        <v>137</v>
      </c>
      <c r="F18" s="0" t="s">
        <v>50</v>
      </c>
      <c r="G18" s="0" t="s">
        <v>51</v>
      </c>
      <c r="H18" s="0" t="s">
        <v>52</v>
      </c>
      <c r="I18" s="0" t="s">
        <v>53</v>
      </c>
      <c r="L18" s="0" t="s">
        <v>54</v>
      </c>
      <c r="V18" s="0" t="s">
        <v>55</v>
      </c>
      <c r="Z18" s="0" t="s">
        <v>30</v>
      </c>
      <c r="AA18" s="0" t="s">
        <v>68</v>
      </c>
      <c r="AB18" s="0" t="s">
        <v>58</v>
      </c>
      <c r="AC18" s="0" t="s">
        <v>59</v>
      </c>
      <c r="AD18" s="0" t="s">
        <v>55</v>
      </c>
      <c r="AE18" s="0" t="s">
        <v>66</v>
      </c>
      <c r="AG18" s="0" t="s">
        <v>69</v>
      </c>
      <c r="AI18" s="0" t="s">
        <v>70</v>
      </c>
      <c r="AJ18" s="0" t="s">
        <v>70</v>
      </c>
      <c r="AL18" s="0" t="n">
        <v>1</v>
      </c>
      <c r="AM18" s="0" t="n">
        <v>3600</v>
      </c>
      <c r="AN18" s="0" t="n">
        <v>240</v>
      </c>
      <c r="AO18" s="0" t="n">
        <v>864000</v>
      </c>
      <c r="AP18" s="0" t="n">
        <v>104.5</v>
      </c>
      <c r="AQ18" s="0" t="n">
        <v>376200</v>
      </c>
      <c r="AR18" s="0" t="s">
        <v>62</v>
      </c>
      <c r="AS18" s="0" t="s">
        <v>131</v>
      </c>
      <c r="AT18" s="0" t="s">
        <v>131</v>
      </c>
      <c r="AU18" s="0" t="s">
        <v>138</v>
      </c>
    </row>
    <row r="19" customFormat="false" ht="15" hidden="false" customHeight="false" outlineLevel="0" collapsed="false">
      <c r="A19" s="0" t="s">
        <v>139</v>
      </c>
      <c r="B19" s="0" t="s">
        <v>140</v>
      </c>
      <c r="C19" s="0" t="n">
        <v>5</v>
      </c>
      <c r="D19" s="0" t="n">
        <v>18000</v>
      </c>
      <c r="E19" s="0" t="s">
        <v>141</v>
      </c>
      <c r="F19" s="0" t="s">
        <v>50</v>
      </c>
      <c r="G19" s="0" t="s">
        <v>51</v>
      </c>
      <c r="H19" s="0" t="s">
        <v>52</v>
      </c>
      <c r="I19" s="0" t="s">
        <v>53</v>
      </c>
      <c r="L19" s="0" t="s">
        <v>54</v>
      </c>
      <c r="V19" s="0" t="s">
        <v>55</v>
      </c>
      <c r="Z19" s="0" t="s">
        <v>56</v>
      </c>
      <c r="AA19" s="0" t="s">
        <v>57</v>
      </c>
      <c r="AB19" s="0" t="s">
        <v>58</v>
      </c>
      <c r="AC19" s="0" t="s">
        <v>59</v>
      </c>
      <c r="AD19" s="0" t="s">
        <v>55</v>
      </c>
      <c r="AG19" s="0" t="s">
        <v>142</v>
      </c>
      <c r="AI19" s="0" t="s">
        <v>143</v>
      </c>
      <c r="AJ19" s="0" t="s">
        <v>143</v>
      </c>
      <c r="AL19" s="0" t="n">
        <v>5</v>
      </c>
      <c r="AM19" s="0" t="n">
        <v>18000</v>
      </c>
      <c r="AR19" s="0" t="s">
        <v>62</v>
      </c>
      <c r="AS19" s="0" t="s">
        <v>144</v>
      </c>
      <c r="AT19" s="0" t="s">
        <v>144</v>
      </c>
      <c r="AU19" s="0" t="s">
        <v>145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0" t="n">
        <v>1</v>
      </c>
      <c r="D20" s="0" t="n">
        <v>3600</v>
      </c>
      <c r="E20" s="0" t="s">
        <v>146</v>
      </c>
      <c r="F20" s="0" t="s">
        <v>50</v>
      </c>
      <c r="G20" s="0" t="s">
        <v>51</v>
      </c>
      <c r="H20" s="0" t="s">
        <v>52</v>
      </c>
      <c r="I20" s="0" t="s">
        <v>53</v>
      </c>
      <c r="L20" s="0" t="s">
        <v>54</v>
      </c>
      <c r="V20" s="0" t="s">
        <v>55</v>
      </c>
      <c r="Z20" s="0" t="s">
        <v>30</v>
      </c>
      <c r="AA20" s="0" t="s">
        <v>68</v>
      </c>
      <c r="AB20" s="0" t="s">
        <v>58</v>
      </c>
      <c r="AC20" s="0" t="s">
        <v>59</v>
      </c>
      <c r="AD20" s="0" t="s">
        <v>55</v>
      </c>
      <c r="AE20" s="0" t="s">
        <v>66</v>
      </c>
      <c r="AG20" s="0" t="s">
        <v>69</v>
      </c>
      <c r="AI20" s="0" t="s">
        <v>70</v>
      </c>
      <c r="AJ20" s="0" t="s">
        <v>70</v>
      </c>
      <c r="AL20" s="0" t="n">
        <v>1</v>
      </c>
      <c r="AM20" s="0" t="n">
        <v>3600</v>
      </c>
      <c r="AN20" s="0" t="n">
        <v>240</v>
      </c>
      <c r="AO20" s="0" t="n">
        <v>864000</v>
      </c>
      <c r="AP20" s="0" t="n">
        <v>104.5</v>
      </c>
      <c r="AQ20" s="0" t="n">
        <v>376200</v>
      </c>
      <c r="AR20" s="0" t="s">
        <v>62</v>
      </c>
      <c r="AS20" s="0" t="s">
        <v>131</v>
      </c>
      <c r="AT20" s="0" t="s">
        <v>131</v>
      </c>
      <c r="AU20" s="0" t="s">
        <v>147</v>
      </c>
    </row>
    <row r="21" customFormat="false" ht="15" hidden="false" customHeight="false" outlineLevel="0" collapsed="false">
      <c r="A21" s="0" t="s">
        <v>122</v>
      </c>
      <c r="B21" s="0" t="s">
        <v>123</v>
      </c>
      <c r="C21" s="0" t="n">
        <v>5.333</v>
      </c>
      <c r="D21" s="0" t="n">
        <v>19200</v>
      </c>
      <c r="E21" s="0" t="s">
        <v>148</v>
      </c>
      <c r="F21" s="0" t="s">
        <v>50</v>
      </c>
      <c r="G21" s="0" t="s">
        <v>51</v>
      </c>
      <c r="H21" s="0" t="s">
        <v>52</v>
      </c>
      <c r="I21" s="0" t="s">
        <v>53</v>
      </c>
      <c r="L21" s="0" t="s">
        <v>54</v>
      </c>
      <c r="V21" s="0" t="s">
        <v>55</v>
      </c>
      <c r="Z21" s="0" t="s">
        <v>56</v>
      </c>
      <c r="AA21" s="0" t="s">
        <v>125</v>
      </c>
      <c r="AB21" s="0" t="s">
        <v>58</v>
      </c>
      <c r="AC21" s="0" t="s">
        <v>59</v>
      </c>
      <c r="AD21" s="0" t="s">
        <v>55</v>
      </c>
      <c r="AG21" s="0" t="s">
        <v>149</v>
      </c>
      <c r="AI21" s="0" t="s">
        <v>109</v>
      </c>
      <c r="AJ21" s="0" t="s">
        <v>127</v>
      </c>
      <c r="AL21" s="0" t="n">
        <v>5.333</v>
      </c>
      <c r="AM21" s="0" t="n">
        <v>19200</v>
      </c>
      <c r="AN21" s="0" t="n">
        <v>24</v>
      </c>
      <c r="AO21" s="0" t="n">
        <v>86400</v>
      </c>
      <c r="AP21" s="0" t="n">
        <v>0</v>
      </c>
      <c r="AQ21" s="0" t="n">
        <v>0</v>
      </c>
      <c r="AR21" s="0" t="s">
        <v>62</v>
      </c>
      <c r="AS21" s="0" t="s">
        <v>150</v>
      </c>
      <c r="AT21" s="0" t="s">
        <v>150</v>
      </c>
      <c r="AU21" s="0" t="s">
        <v>151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n">
        <v>1.5</v>
      </c>
      <c r="D22" s="0" t="n">
        <v>5400</v>
      </c>
      <c r="E22" s="0" t="s">
        <v>152</v>
      </c>
      <c r="F22" s="0" t="s">
        <v>50</v>
      </c>
      <c r="G22" s="0" t="s">
        <v>51</v>
      </c>
      <c r="H22" s="0" t="s">
        <v>52</v>
      </c>
      <c r="I22" s="0" t="s">
        <v>53</v>
      </c>
      <c r="L22" s="0" t="s">
        <v>54</v>
      </c>
      <c r="V22" s="0" t="s">
        <v>55</v>
      </c>
      <c r="Z22" s="0" t="s">
        <v>56</v>
      </c>
      <c r="AA22" s="0" t="s">
        <v>57</v>
      </c>
      <c r="AB22" s="0" t="s">
        <v>58</v>
      </c>
      <c r="AC22" s="0" t="s">
        <v>59</v>
      </c>
      <c r="AD22" s="0" t="s">
        <v>55</v>
      </c>
      <c r="AG22" s="0" t="s">
        <v>153</v>
      </c>
      <c r="AI22" s="0" t="s">
        <v>61</v>
      </c>
      <c r="AJ22" s="0" t="s">
        <v>61</v>
      </c>
      <c r="AL22" s="0" t="n">
        <v>1.5</v>
      </c>
      <c r="AM22" s="0" t="n">
        <v>5400</v>
      </c>
      <c r="AR22" s="0" t="s">
        <v>62</v>
      </c>
      <c r="AS22" s="0" t="s">
        <v>154</v>
      </c>
      <c r="AT22" s="0" t="s">
        <v>154</v>
      </c>
      <c r="AU22" s="0" t="s">
        <v>155</v>
      </c>
    </row>
    <row r="23" customFormat="false" ht="15" hidden="false" customHeight="false" outlineLevel="0" collapsed="false">
      <c r="A23" s="0" t="s">
        <v>65</v>
      </c>
      <c r="B23" s="0" t="s">
        <v>66</v>
      </c>
      <c r="C23" s="0" t="n">
        <v>1</v>
      </c>
      <c r="D23" s="0" t="n">
        <v>3600</v>
      </c>
      <c r="E23" s="0" t="s">
        <v>156</v>
      </c>
      <c r="F23" s="0" t="s">
        <v>50</v>
      </c>
      <c r="G23" s="0" t="s">
        <v>51</v>
      </c>
      <c r="H23" s="0" t="s">
        <v>52</v>
      </c>
      <c r="I23" s="0" t="s">
        <v>53</v>
      </c>
      <c r="L23" s="0" t="s">
        <v>54</v>
      </c>
      <c r="V23" s="0" t="s">
        <v>55</v>
      </c>
      <c r="Z23" s="0" t="s">
        <v>30</v>
      </c>
      <c r="AA23" s="0" t="s">
        <v>68</v>
      </c>
      <c r="AB23" s="0" t="s">
        <v>58</v>
      </c>
      <c r="AC23" s="0" t="s">
        <v>59</v>
      </c>
      <c r="AD23" s="0" t="s">
        <v>55</v>
      </c>
      <c r="AE23" s="0" t="s">
        <v>66</v>
      </c>
      <c r="AG23" s="0" t="s">
        <v>69</v>
      </c>
      <c r="AI23" s="0" t="s">
        <v>70</v>
      </c>
      <c r="AJ23" s="0" t="s">
        <v>70</v>
      </c>
      <c r="AL23" s="0" t="n">
        <v>1</v>
      </c>
      <c r="AM23" s="0" t="n">
        <v>3600</v>
      </c>
      <c r="AN23" s="0" t="n">
        <v>240</v>
      </c>
      <c r="AO23" s="0" t="n">
        <v>864000</v>
      </c>
      <c r="AP23" s="0" t="n">
        <v>104.5</v>
      </c>
      <c r="AQ23" s="0" t="n">
        <v>376200</v>
      </c>
      <c r="AR23" s="0" t="s">
        <v>62</v>
      </c>
      <c r="AS23" s="0" t="s">
        <v>154</v>
      </c>
      <c r="AT23" s="0" t="s">
        <v>154</v>
      </c>
      <c r="AU23" s="0" t="s">
        <v>157</v>
      </c>
    </row>
    <row r="24" customFormat="false" ht="15" hidden="false" customHeight="false" outlineLevel="0" collapsed="false">
      <c r="A24" s="0" t="s">
        <v>103</v>
      </c>
      <c r="B24" s="0" t="s">
        <v>104</v>
      </c>
      <c r="C24" s="0" t="n">
        <v>5.5</v>
      </c>
      <c r="D24" s="0" t="n">
        <v>19800</v>
      </c>
      <c r="E24" s="0" t="s">
        <v>158</v>
      </c>
      <c r="F24" s="0" t="s">
        <v>50</v>
      </c>
      <c r="G24" s="0" t="s">
        <v>51</v>
      </c>
      <c r="H24" s="0" t="s">
        <v>52</v>
      </c>
      <c r="I24" s="0" t="s">
        <v>53</v>
      </c>
      <c r="L24" s="0" t="s">
        <v>54</v>
      </c>
      <c r="V24" s="0" t="s">
        <v>55</v>
      </c>
      <c r="Z24" s="0" t="s">
        <v>56</v>
      </c>
      <c r="AA24" s="0" t="s">
        <v>57</v>
      </c>
      <c r="AB24" s="0" t="s">
        <v>58</v>
      </c>
      <c r="AC24" s="0" t="s">
        <v>59</v>
      </c>
      <c r="AD24" s="0" t="s">
        <v>55</v>
      </c>
      <c r="AF24" s="0" t="s">
        <v>106</v>
      </c>
      <c r="AG24" s="0" t="s">
        <v>159</v>
      </c>
      <c r="AH24" s="0" t="s">
        <v>108</v>
      </c>
      <c r="AI24" s="0" t="s">
        <v>109</v>
      </c>
      <c r="AJ24" s="0" t="s">
        <v>109</v>
      </c>
      <c r="AL24" s="0" t="n">
        <v>5.5</v>
      </c>
      <c r="AM24" s="0" t="n">
        <v>19800</v>
      </c>
      <c r="AN24" s="0" t="n">
        <v>8</v>
      </c>
      <c r="AO24" s="0" t="n">
        <v>28800</v>
      </c>
      <c r="AP24" s="0" t="n">
        <v>0</v>
      </c>
      <c r="AQ24" s="0" t="n">
        <v>0</v>
      </c>
      <c r="AR24" s="0" t="s">
        <v>62</v>
      </c>
      <c r="AS24" s="0" t="s">
        <v>160</v>
      </c>
      <c r="AT24" s="0" t="s">
        <v>160</v>
      </c>
      <c r="AU24" s="0" t="s">
        <v>161</v>
      </c>
    </row>
    <row r="25" customFormat="false" ht="15" hidden="false" customHeight="false" outlineLevel="0" collapsed="false">
      <c r="A25" s="0" t="s">
        <v>162</v>
      </c>
      <c r="B25" s="0" t="s">
        <v>163</v>
      </c>
      <c r="C25" s="0" t="n">
        <v>3</v>
      </c>
      <c r="D25" s="0" t="n">
        <v>10800</v>
      </c>
      <c r="E25" s="0" t="s">
        <v>164</v>
      </c>
      <c r="F25" s="0" t="s">
        <v>50</v>
      </c>
      <c r="G25" s="0" t="s">
        <v>51</v>
      </c>
      <c r="H25" s="0" t="s">
        <v>52</v>
      </c>
      <c r="I25" s="0" t="s">
        <v>53</v>
      </c>
      <c r="L25" s="0" t="s">
        <v>54</v>
      </c>
      <c r="V25" s="0" t="s">
        <v>55</v>
      </c>
      <c r="Z25" s="0" t="s">
        <v>56</v>
      </c>
      <c r="AA25" s="0" t="s">
        <v>165</v>
      </c>
      <c r="AB25" s="0" t="s">
        <v>58</v>
      </c>
      <c r="AC25" s="0" t="s">
        <v>59</v>
      </c>
      <c r="AD25" s="0" t="s">
        <v>55</v>
      </c>
      <c r="AG25" s="0" t="s">
        <v>166</v>
      </c>
      <c r="AI25" s="0" t="s">
        <v>167</v>
      </c>
      <c r="AJ25" s="0" t="s">
        <v>167</v>
      </c>
      <c r="AL25" s="0" t="n">
        <v>3</v>
      </c>
      <c r="AM25" s="0" t="n">
        <v>10800</v>
      </c>
      <c r="AR25" s="0" t="s">
        <v>62</v>
      </c>
      <c r="AS25" s="0" t="s">
        <v>168</v>
      </c>
      <c r="AT25" s="0" t="s">
        <v>168</v>
      </c>
      <c r="AU25" s="0" t="s">
        <v>169</v>
      </c>
    </row>
    <row r="26" customFormat="false" ht="15" hidden="false" customHeight="false" outlineLevel="0" collapsed="false">
      <c r="A26" s="0" t="s">
        <v>65</v>
      </c>
      <c r="B26" s="0" t="s">
        <v>66</v>
      </c>
      <c r="C26" s="0" t="n">
        <v>1</v>
      </c>
      <c r="D26" s="0" t="n">
        <v>3600</v>
      </c>
      <c r="E26" s="0" t="s">
        <v>170</v>
      </c>
      <c r="F26" s="0" t="s">
        <v>50</v>
      </c>
      <c r="G26" s="0" t="s">
        <v>51</v>
      </c>
      <c r="H26" s="0" t="s">
        <v>52</v>
      </c>
      <c r="I26" s="0" t="s">
        <v>53</v>
      </c>
      <c r="L26" s="0" t="s">
        <v>54</v>
      </c>
      <c r="V26" s="0" t="s">
        <v>55</v>
      </c>
      <c r="Z26" s="0" t="s">
        <v>30</v>
      </c>
      <c r="AA26" s="0" t="s">
        <v>68</v>
      </c>
      <c r="AB26" s="0" t="s">
        <v>58</v>
      </c>
      <c r="AC26" s="0" t="s">
        <v>59</v>
      </c>
      <c r="AD26" s="0" t="s">
        <v>55</v>
      </c>
      <c r="AE26" s="0" t="s">
        <v>66</v>
      </c>
      <c r="AG26" s="0" t="s">
        <v>69</v>
      </c>
      <c r="AI26" s="0" t="s">
        <v>70</v>
      </c>
      <c r="AJ26" s="0" t="s">
        <v>70</v>
      </c>
      <c r="AL26" s="0" t="n">
        <v>1</v>
      </c>
      <c r="AM26" s="0" t="n">
        <v>3600</v>
      </c>
      <c r="AN26" s="0" t="n">
        <v>240</v>
      </c>
      <c r="AO26" s="0" t="n">
        <v>864000</v>
      </c>
      <c r="AP26" s="0" t="n">
        <v>104.5</v>
      </c>
      <c r="AQ26" s="0" t="n">
        <v>376200</v>
      </c>
      <c r="AR26" s="0" t="s">
        <v>62</v>
      </c>
      <c r="AS26" s="0" t="s">
        <v>171</v>
      </c>
      <c r="AT26" s="0" t="s">
        <v>171</v>
      </c>
      <c r="AU26" s="0" t="s">
        <v>172</v>
      </c>
    </row>
    <row r="27" customFormat="false" ht="15" hidden="false" customHeight="false" outlineLevel="0" collapsed="false">
      <c r="A27" s="0" t="s">
        <v>122</v>
      </c>
      <c r="B27" s="0" t="s">
        <v>123</v>
      </c>
      <c r="C27" s="0" t="n">
        <v>3</v>
      </c>
      <c r="D27" s="0" t="n">
        <v>10800</v>
      </c>
      <c r="E27" s="0" t="s">
        <v>173</v>
      </c>
      <c r="F27" s="0" t="s">
        <v>50</v>
      </c>
      <c r="G27" s="0" t="s">
        <v>51</v>
      </c>
      <c r="H27" s="0" t="s">
        <v>52</v>
      </c>
      <c r="I27" s="0" t="s">
        <v>53</v>
      </c>
      <c r="L27" s="0" t="s">
        <v>54</v>
      </c>
      <c r="V27" s="0" t="s">
        <v>55</v>
      </c>
      <c r="Z27" s="0" t="s">
        <v>56</v>
      </c>
      <c r="AA27" s="0" t="s">
        <v>125</v>
      </c>
      <c r="AB27" s="0" t="s">
        <v>58</v>
      </c>
      <c r="AC27" s="0" t="s">
        <v>59</v>
      </c>
      <c r="AD27" s="0" t="s">
        <v>55</v>
      </c>
      <c r="AG27" s="0" t="s">
        <v>174</v>
      </c>
      <c r="AI27" s="0" t="s">
        <v>109</v>
      </c>
      <c r="AJ27" s="0" t="s">
        <v>127</v>
      </c>
      <c r="AL27" s="0" t="n">
        <v>3</v>
      </c>
      <c r="AM27" s="0" t="n">
        <v>10800</v>
      </c>
      <c r="AN27" s="0" t="n">
        <v>24</v>
      </c>
      <c r="AO27" s="0" t="n">
        <v>86400</v>
      </c>
      <c r="AP27" s="0" t="n">
        <v>0</v>
      </c>
      <c r="AQ27" s="0" t="n">
        <v>0</v>
      </c>
      <c r="AR27" s="0" t="s">
        <v>62</v>
      </c>
      <c r="AS27" s="0" t="s">
        <v>175</v>
      </c>
      <c r="AT27" s="0" t="s">
        <v>175</v>
      </c>
      <c r="AU27" s="0" t="s">
        <v>176</v>
      </c>
    </row>
    <row r="28" customFormat="false" ht="15" hidden="false" customHeight="false" outlineLevel="0" collapsed="false">
      <c r="A28" s="0" t="s">
        <v>162</v>
      </c>
      <c r="B28" s="0" t="s">
        <v>163</v>
      </c>
      <c r="C28" s="0" t="n">
        <v>1.5</v>
      </c>
      <c r="D28" s="0" t="n">
        <v>5400</v>
      </c>
      <c r="E28" s="0" t="s">
        <v>177</v>
      </c>
      <c r="F28" s="0" t="s">
        <v>50</v>
      </c>
      <c r="G28" s="0" t="s">
        <v>51</v>
      </c>
      <c r="H28" s="0" t="s">
        <v>52</v>
      </c>
      <c r="I28" s="0" t="s">
        <v>53</v>
      </c>
      <c r="L28" s="0" t="s">
        <v>54</v>
      </c>
      <c r="V28" s="0" t="s">
        <v>55</v>
      </c>
      <c r="Z28" s="0" t="s">
        <v>56</v>
      </c>
      <c r="AA28" s="0" t="s">
        <v>165</v>
      </c>
      <c r="AB28" s="0" t="s">
        <v>58</v>
      </c>
      <c r="AC28" s="0" t="s">
        <v>59</v>
      </c>
      <c r="AD28" s="0" t="s">
        <v>55</v>
      </c>
      <c r="AG28" s="0" t="s">
        <v>178</v>
      </c>
      <c r="AI28" s="0" t="s">
        <v>167</v>
      </c>
      <c r="AJ28" s="0" t="s">
        <v>167</v>
      </c>
      <c r="AL28" s="0" t="n">
        <v>1.5</v>
      </c>
      <c r="AM28" s="0" t="n">
        <v>5400</v>
      </c>
      <c r="AR28" s="0" t="s">
        <v>62</v>
      </c>
      <c r="AS28" s="0" t="s">
        <v>179</v>
      </c>
      <c r="AT28" s="0" t="s">
        <v>179</v>
      </c>
      <c r="AU28" s="0" t="s">
        <v>180</v>
      </c>
    </row>
    <row r="29" customFormat="false" ht="15" hidden="false" customHeight="false" outlineLevel="0" collapsed="false">
      <c r="A29" s="0" t="s">
        <v>162</v>
      </c>
      <c r="B29" s="0" t="s">
        <v>163</v>
      </c>
      <c r="C29" s="0" t="n">
        <v>1</v>
      </c>
      <c r="D29" s="0" t="n">
        <v>3600</v>
      </c>
      <c r="E29" s="0" t="s">
        <v>181</v>
      </c>
      <c r="F29" s="0" t="s">
        <v>50</v>
      </c>
      <c r="G29" s="0" t="s">
        <v>51</v>
      </c>
      <c r="H29" s="0" t="s">
        <v>52</v>
      </c>
      <c r="I29" s="0" t="s">
        <v>53</v>
      </c>
      <c r="L29" s="0" t="s">
        <v>54</v>
      </c>
      <c r="V29" s="0" t="s">
        <v>55</v>
      </c>
      <c r="Z29" s="0" t="s">
        <v>56</v>
      </c>
      <c r="AA29" s="0" t="s">
        <v>165</v>
      </c>
      <c r="AB29" s="0" t="s">
        <v>58</v>
      </c>
      <c r="AC29" s="0" t="s">
        <v>59</v>
      </c>
      <c r="AD29" s="0" t="s">
        <v>55</v>
      </c>
      <c r="AG29" s="0" t="s">
        <v>69</v>
      </c>
      <c r="AI29" s="0" t="s">
        <v>167</v>
      </c>
      <c r="AJ29" s="0" t="s">
        <v>167</v>
      </c>
      <c r="AL29" s="0" t="n">
        <v>1</v>
      </c>
      <c r="AM29" s="0" t="n">
        <v>3600</v>
      </c>
      <c r="AR29" s="0" t="s">
        <v>62</v>
      </c>
      <c r="AS29" s="0" t="s">
        <v>182</v>
      </c>
      <c r="AT29" s="0" t="s">
        <v>182</v>
      </c>
      <c r="AU29" s="0" t="s">
        <v>183</v>
      </c>
    </row>
    <row r="30" customFormat="false" ht="15" hidden="false" customHeight="false" outlineLevel="0" collapsed="false">
      <c r="A30" s="0" t="s">
        <v>122</v>
      </c>
      <c r="B30" s="0" t="s">
        <v>123</v>
      </c>
      <c r="C30" s="0" t="n">
        <v>2</v>
      </c>
      <c r="D30" s="0" t="n">
        <v>7200</v>
      </c>
      <c r="E30" s="0" t="s">
        <v>184</v>
      </c>
      <c r="F30" s="0" t="s">
        <v>50</v>
      </c>
      <c r="G30" s="0" t="s">
        <v>51</v>
      </c>
      <c r="H30" s="0" t="s">
        <v>52</v>
      </c>
      <c r="I30" s="0" t="s">
        <v>53</v>
      </c>
      <c r="L30" s="0" t="s">
        <v>54</v>
      </c>
      <c r="V30" s="0" t="s">
        <v>55</v>
      </c>
      <c r="Z30" s="0" t="s">
        <v>56</v>
      </c>
      <c r="AA30" s="0" t="s">
        <v>125</v>
      </c>
      <c r="AB30" s="0" t="s">
        <v>58</v>
      </c>
      <c r="AC30" s="0" t="s">
        <v>59</v>
      </c>
      <c r="AD30" s="0" t="s">
        <v>55</v>
      </c>
      <c r="AG30" s="0" t="s">
        <v>185</v>
      </c>
      <c r="AI30" s="0" t="s">
        <v>109</v>
      </c>
      <c r="AJ30" s="0" t="s">
        <v>127</v>
      </c>
      <c r="AL30" s="0" t="n">
        <v>2</v>
      </c>
      <c r="AM30" s="0" t="n">
        <v>7200</v>
      </c>
      <c r="AN30" s="0" t="n">
        <v>24</v>
      </c>
      <c r="AO30" s="0" t="n">
        <v>86400</v>
      </c>
      <c r="AP30" s="0" t="n">
        <v>0</v>
      </c>
      <c r="AQ30" s="0" t="n">
        <v>0</v>
      </c>
      <c r="AR30" s="0" t="s">
        <v>62</v>
      </c>
      <c r="AS30" s="0" t="s">
        <v>175</v>
      </c>
      <c r="AT30" s="0" t="s">
        <v>175</v>
      </c>
      <c r="AU30" s="0" t="s">
        <v>186</v>
      </c>
    </row>
    <row r="31" customFormat="false" ht="15" hidden="false" customHeight="false" outlineLevel="0" collapsed="false">
      <c r="A31" s="0" t="s">
        <v>65</v>
      </c>
      <c r="B31" s="0" t="s">
        <v>66</v>
      </c>
      <c r="C31" s="0" t="n">
        <v>1</v>
      </c>
      <c r="D31" s="0" t="n">
        <v>3600</v>
      </c>
      <c r="E31" s="0" t="s">
        <v>187</v>
      </c>
      <c r="F31" s="0" t="s">
        <v>50</v>
      </c>
      <c r="G31" s="0" t="s">
        <v>51</v>
      </c>
      <c r="H31" s="0" t="s">
        <v>52</v>
      </c>
      <c r="I31" s="0" t="s">
        <v>53</v>
      </c>
      <c r="L31" s="0" t="s">
        <v>54</v>
      </c>
      <c r="V31" s="0" t="s">
        <v>55</v>
      </c>
      <c r="Z31" s="0" t="s">
        <v>30</v>
      </c>
      <c r="AA31" s="0" t="s">
        <v>68</v>
      </c>
      <c r="AB31" s="0" t="s">
        <v>58</v>
      </c>
      <c r="AC31" s="0" t="s">
        <v>59</v>
      </c>
      <c r="AD31" s="0" t="s">
        <v>55</v>
      </c>
      <c r="AE31" s="0" t="s">
        <v>66</v>
      </c>
      <c r="AG31" s="0" t="s">
        <v>69</v>
      </c>
      <c r="AI31" s="0" t="s">
        <v>70</v>
      </c>
      <c r="AJ31" s="0" t="s">
        <v>70</v>
      </c>
      <c r="AL31" s="0" t="n">
        <v>1</v>
      </c>
      <c r="AM31" s="0" t="n">
        <v>3600</v>
      </c>
      <c r="AN31" s="0" t="n">
        <v>240</v>
      </c>
      <c r="AO31" s="0" t="n">
        <v>864000</v>
      </c>
      <c r="AP31" s="0" t="n">
        <v>104.5</v>
      </c>
      <c r="AQ31" s="0" t="n">
        <v>376200</v>
      </c>
      <c r="AR31" s="0" t="s">
        <v>62</v>
      </c>
      <c r="AS31" s="0" t="s">
        <v>188</v>
      </c>
      <c r="AT31" s="0" t="s">
        <v>188</v>
      </c>
      <c r="AU31" s="0" t="s">
        <v>189</v>
      </c>
    </row>
    <row r="32" customFormat="false" ht="15" hidden="false" customHeight="false" outlineLevel="0" collapsed="false">
      <c r="A32" s="0" t="s">
        <v>122</v>
      </c>
      <c r="B32" s="0" t="s">
        <v>123</v>
      </c>
      <c r="C32" s="0" t="n">
        <v>3</v>
      </c>
      <c r="D32" s="0" t="n">
        <v>10800</v>
      </c>
      <c r="E32" s="0" t="s">
        <v>190</v>
      </c>
      <c r="F32" s="0" t="s">
        <v>50</v>
      </c>
      <c r="G32" s="0" t="s">
        <v>51</v>
      </c>
      <c r="H32" s="0" t="s">
        <v>52</v>
      </c>
      <c r="I32" s="0" t="s">
        <v>53</v>
      </c>
      <c r="L32" s="0" t="s">
        <v>54</v>
      </c>
      <c r="V32" s="0" t="s">
        <v>55</v>
      </c>
      <c r="Z32" s="0" t="s">
        <v>56</v>
      </c>
      <c r="AA32" s="0" t="s">
        <v>125</v>
      </c>
      <c r="AB32" s="0" t="s">
        <v>58</v>
      </c>
      <c r="AC32" s="0" t="s">
        <v>59</v>
      </c>
      <c r="AD32" s="0" t="s">
        <v>55</v>
      </c>
      <c r="AG32" s="0" t="s">
        <v>191</v>
      </c>
      <c r="AI32" s="0" t="s">
        <v>109</v>
      </c>
      <c r="AJ32" s="0" t="s">
        <v>127</v>
      </c>
      <c r="AL32" s="0" t="n">
        <v>3</v>
      </c>
      <c r="AM32" s="0" t="n">
        <v>10800</v>
      </c>
      <c r="AN32" s="0" t="n">
        <v>24</v>
      </c>
      <c r="AO32" s="0" t="n">
        <v>86400</v>
      </c>
      <c r="AP32" s="0" t="n">
        <v>0</v>
      </c>
      <c r="AQ32" s="0" t="n">
        <v>0</v>
      </c>
      <c r="AR32" s="0" t="s">
        <v>62</v>
      </c>
      <c r="AS32" s="0" t="s">
        <v>192</v>
      </c>
      <c r="AT32" s="0" t="s">
        <v>192</v>
      </c>
      <c r="AU32" s="0" t="s">
        <v>193</v>
      </c>
    </row>
    <row r="33" customFormat="false" ht="15" hidden="false" customHeight="false" outlineLevel="0" collapsed="false">
      <c r="A33" s="0" t="s">
        <v>194</v>
      </c>
      <c r="B33" s="0" t="s">
        <v>195</v>
      </c>
      <c r="C33" s="0" t="n">
        <v>3</v>
      </c>
      <c r="D33" s="0" t="n">
        <v>10800</v>
      </c>
      <c r="E33" s="0" t="s">
        <v>196</v>
      </c>
      <c r="F33" s="0" t="s">
        <v>50</v>
      </c>
      <c r="G33" s="0" t="s">
        <v>51</v>
      </c>
      <c r="H33" s="0" t="s">
        <v>52</v>
      </c>
      <c r="I33" s="0" t="s">
        <v>53</v>
      </c>
      <c r="L33" s="0" t="s">
        <v>54</v>
      </c>
      <c r="V33" s="0" t="s">
        <v>55</v>
      </c>
      <c r="Z33" s="0" t="s">
        <v>56</v>
      </c>
      <c r="AA33" s="0" t="s">
        <v>197</v>
      </c>
      <c r="AB33" s="0" t="s">
        <v>58</v>
      </c>
      <c r="AC33" s="0" t="s">
        <v>59</v>
      </c>
      <c r="AD33" s="0" t="s">
        <v>55</v>
      </c>
      <c r="AF33" s="0" t="s">
        <v>106</v>
      </c>
      <c r="AG33" s="0" t="s">
        <v>198</v>
      </c>
      <c r="AH33" s="0" t="s">
        <v>108</v>
      </c>
      <c r="AI33" s="0" t="s">
        <v>109</v>
      </c>
      <c r="AJ33" s="0" t="s">
        <v>109</v>
      </c>
      <c r="AL33" s="0" t="n">
        <v>3</v>
      </c>
      <c r="AM33" s="0" t="n">
        <v>10800</v>
      </c>
      <c r="AN33" s="0" t="n">
        <v>12</v>
      </c>
      <c r="AO33" s="0" t="n">
        <v>43200</v>
      </c>
      <c r="AP33" s="0" t="n">
        <v>0</v>
      </c>
      <c r="AQ33" s="0" t="n">
        <v>0</v>
      </c>
      <c r="AR33" s="0" t="s">
        <v>62</v>
      </c>
      <c r="AS33" s="0" t="s">
        <v>199</v>
      </c>
      <c r="AT33" s="0" t="s">
        <v>199</v>
      </c>
      <c r="AU33" s="0" t="s">
        <v>200</v>
      </c>
    </row>
    <row r="34" customFormat="false" ht="15" hidden="false" customHeight="false" outlineLevel="0" collapsed="false">
      <c r="A34" s="0" t="s">
        <v>65</v>
      </c>
      <c r="B34" s="0" t="s">
        <v>66</v>
      </c>
      <c r="C34" s="0" t="n">
        <v>1</v>
      </c>
      <c r="D34" s="0" t="n">
        <v>3600</v>
      </c>
      <c r="E34" s="0" t="s">
        <v>201</v>
      </c>
      <c r="F34" s="0" t="s">
        <v>50</v>
      </c>
      <c r="G34" s="0" t="s">
        <v>51</v>
      </c>
      <c r="H34" s="0" t="s">
        <v>52</v>
      </c>
      <c r="I34" s="0" t="s">
        <v>53</v>
      </c>
      <c r="L34" s="0" t="s">
        <v>54</v>
      </c>
      <c r="V34" s="0" t="s">
        <v>55</v>
      </c>
      <c r="Z34" s="0" t="s">
        <v>30</v>
      </c>
      <c r="AA34" s="0" t="s">
        <v>68</v>
      </c>
      <c r="AB34" s="0" t="s">
        <v>58</v>
      </c>
      <c r="AC34" s="0" t="s">
        <v>59</v>
      </c>
      <c r="AD34" s="0" t="s">
        <v>55</v>
      </c>
      <c r="AE34" s="0" t="s">
        <v>66</v>
      </c>
      <c r="AG34" s="0" t="s">
        <v>69</v>
      </c>
      <c r="AI34" s="0" t="s">
        <v>70</v>
      </c>
      <c r="AJ34" s="0" t="s">
        <v>70</v>
      </c>
      <c r="AL34" s="0" t="n">
        <v>1</v>
      </c>
      <c r="AM34" s="0" t="n">
        <v>3600</v>
      </c>
      <c r="AN34" s="0" t="n">
        <v>240</v>
      </c>
      <c r="AO34" s="0" t="n">
        <v>864000</v>
      </c>
      <c r="AP34" s="0" t="n">
        <v>104.5</v>
      </c>
      <c r="AQ34" s="0" t="n">
        <v>376200</v>
      </c>
      <c r="AR34" s="0" t="s">
        <v>62</v>
      </c>
      <c r="AS34" s="0" t="s">
        <v>202</v>
      </c>
      <c r="AT34" s="0" t="s">
        <v>202</v>
      </c>
      <c r="AU34" s="0" t="s">
        <v>203</v>
      </c>
    </row>
    <row r="35" customFormat="false" ht="15" hidden="false" customHeight="false" outlineLevel="0" collapsed="false">
      <c r="A35" s="0" t="s">
        <v>194</v>
      </c>
      <c r="B35" s="0" t="s">
        <v>195</v>
      </c>
      <c r="C35" s="0" t="n">
        <v>6</v>
      </c>
      <c r="D35" s="0" t="n">
        <v>21600</v>
      </c>
      <c r="E35" s="0" t="s">
        <v>204</v>
      </c>
      <c r="F35" s="0" t="s">
        <v>50</v>
      </c>
      <c r="G35" s="0" t="s">
        <v>51</v>
      </c>
      <c r="H35" s="0" t="s">
        <v>52</v>
      </c>
      <c r="I35" s="0" t="s">
        <v>53</v>
      </c>
      <c r="L35" s="0" t="s">
        <v>54</v>
      </c>
      <c r="V35" s="0" t="s">
        <v>55</v>
      </c>
      <c r="Z35" s="0" t="s">
        <v>56</v>
      </c>
      <c r="AA35" s="0" t="s">
        <v>197</v>
      </c>
      <c r="AB35" s="0" t="s">
        <v>58</v>
      </c>
      <c r="AC35" s="0" t="s">
        <v>59</v>
      </c>
      <c r="AD35" s="0" t="s">
        <v>55</v>
      </c>
      <c r="AF35" s="0" t="s">
        <v>106</v>
      </c>
      <c r="AG35" s="0" t="s">
        <v>205</v>
      </c>
      <c r="AH35" s="0" t="s">
        <v>108</v>
      </c>
      <c r="AI35" s="0" t="s">
        <v>109</v>
      </c>
      <c r="AJ35" s="0" t="s">
        <v>109</v>
      </c>
      <c r="AL35" s="0" t="n">
        <v>6</v>
      </c>
      <c r="AM35" s="0" t="n">
        <v>21600</v>
      </c>
      <c r="AN35" s="0" t="n">
        <v>12</v>
      </c>
      <c r="AO35" s="0" t="n">
        <v>43200</v>
      </c>
      <c r="AP35" s="0" t="n">
        <v>0</v>
      </c>
      <c r="AQ35" s="0" t="n">
        <v>0</v>
      </c>
      <c r="AR35" s="0" t="s">
        <v>62</v>
      </c>
      <c r="AS35" s="0" t="s">
        <v>206</v>
      </c>
      <c r="AT35" s="0" t="s">
        <v>206</v>
      </c>
      <c r="AU35" s="0" t="s">
        <v>207</v>
      </c>
    </row>
    <row r="36" customFormat="false" ht="15" hidden="false" customHeight="false" outlineLevel="0" collapsed="false">
      <c r="A36" s="0" t="s">
        <v>65</v>
      </c>
      <c r="B36" s="0" t="s">
        <v>66</v>
      </c>
      <c r="C36" s="0" t="n">
        <v>1</v>
      </c>
      <c r="D36" s="0" t="n">
        <v>3600</v>
      </c>
      <c r="E36" s="0" t="s">
        <v>208</v>
      </c>
      <c r="F36" s="0" t="s">
        <v>50</v>
      </c>
      <c r="G36" s="0" t="s">
        <v>51</v>
      </c>
      <c r="H36" s="0" t="s">
        <v>52</v>
      </c>
      <c r="I36" s="0" t="s">
        <v>53</v>
      </c>
      <c r="L36" s="0" t="s">
        <v>54</v>
      </c>
      <c r="V36" s="0" t="s">
        <v>55</v>
      </c>
      <c r="Z36" s="0" t="s">
        <v>30</v>
      </c>
      <c r="AA36" s="0" t="s">
        <v>68</v>
      </c>
      <c r="AB36" s="0" t="s">
        <v>58</v>
      </c>
      <c r="AC36" s="0" t="s">
        <v>59</v>
      </c>
      <c r="AD36" s="0" t="s">
        <v>55</v>
      </c>
      <c r="AE36" s="0" t="s">
        <v>66</v>
      </c>
      <c r="AG36" s="0" t="s">
        <v>209</v>
      </c>
      <c r="AI36" s="0" t="s">
        <v>70</v>
      </c>
      <c r="AJ36" s="0" t="s">
        <v>70</v>
      </c>
      <c r="AL36" s="0" t="n">
        <v>1</v>
      </c>
      <c r="AM36" s="0" t="n">
        <v>3600</v>
      </c>
      <c r="AN36" s="0" t="n">
        <v>240</v>
      </c>
      <c r="AO36" s="0" t="n">
        <v>864000</v>
      </c>
      <c r="AP36" s="0" t="n">
        <v>104.5</v>
      </c>
      <c r="AQ36" s="0" t="n">
        <v>376200</v>
      </c>
      <c r="AR36" s="0" t="s">
        <v>62</v>
      </c>
      <c r="AS36" s="0" t="s">
        <v>202</v>
      </c>
      <c r="AT36" s="0" t="s">
        <v>202</v>
      </c>
      <c r="AU36" s="0" t="s">
        <v>210</v>
      </c>
    </row>
    <row r="37" customFormat="false" ht="15" hidden="false" customHeight="false" outlineLevel="0" collapsed="false">
      <c r="A37" s="0" t="s">
        <v>194</v>
      </c>
      <c r="B37" s="0" t="s">
        <v>195</v>
      </c>
      <c r="C37" s="0" t="n">
        <v>6.5</v>
      </c>
      <c r="D37" s="0" t="n">
        <v>23400</v>
      </c>
      <c r="E37" s="0" t="s">
        <v>211</v>
      </c>
      <c r="F37" s="0" t="s">
        <v>50</v>
      </c>
      <c r="G37" s="0" t="s">
        <v>51</v>
      </c>
      <c r="H37" s="0" t="s">
        <v>52</v>
      </c>
      <c r="I37" s="0" t="s">
        <v>53</v>
      </c>
      <c r="L37" s="0" t="s">
        <v>54</v>
      </c>
      <c r="V37" s="0" t="s">
        <v>55</v>
      </c>
      <c r="Z37" s="0" t="s">
        <v>56</v>
      </c>
      <c r="AA37" s="0" t="s">
        <v>197</v>
      </c>
      <c r="AB37" s="0" t="s">
        <v>58</v>
      </c>
      <c r="AC37" s="0" t="s">
        <v>59</v>
      </c>
      <c r="AD37" s="0" t="s">
        <v>55</v>
      </c>
      <c r="AF37" s="0" t="s">
        <v>106</v>
      </c>
      <c r="AG37" s="0" t="s">
        <v>212</v>
      </c>
      <c r="AH37" s="0" t="s">
        <v>108</v>
      </c>
      <c r="AI37" s="0" t="s">
        <v>109</v>
      </c>
      <c r="AJ37" s="0" t="s">
        <v>109</v>
      </c>
      <c r="AL37" s="0" t="n">
        <v>6.5</v>
      </c>
      <c r="AM37" s="0" t="n">
        <v>23400</v>
      </c>
      <c r="AN37" s="0" t="n">
        <v>12</v>
      </c>
      <c r="AO37" s="0" t="n">
        <v>43200</v>
      </c>
      <c r="AP37" s="0" t="n">
        <v>0</v>
      </c>
      <c r="AQ37" s="0" t="n">
        <v>0</v>
      </c>
      <c r="AR37" s="0" t="s">
        <v>62</v>
      </c>
      <c r="AS37" s="0" t="s">
        <v>213</v>
      </c>
      <c r="AT37" s="0" t="s">
        <v>213</v>
      </c>
      <c r="AU37" s="0" t="s">
        <v>214</v>
      </c>
    </row>
    <row r="38" customFormat="false" ht="15" hidden="false" customHeight="false" outlineLevel="0" collapsed="false">
      <c r="A38" s="0" t="s">
        <v>122</v>
      </c>
      <c r="B38" s="0" t="s">
        <v>123</v>
      </c>
      <c r="C38" s="0" t="n">
        <v>2.75</v>
      </c>
      <c r="D38" s="0" t="n">
        <v>9900</v>
      </c>
      <c r="E38" s="0" t="s">
        <v>215</v>
      </c>
      <c r="F38" s="0" t="s">
        <v>50</v>
      </c>
      <c r="G38" s="0" t="s">
        <v>51</v>
      </c>
      <c r="H38" s="0" t="s">
        <v>52</v>
      </c>
      <c r="I38" s="0" t="s">
        <v>53</v>
      </c>
      <c r="L38" s="0" t="s">
        <v>54</v>
      </c>
      <c r="V38" s="0" t="s">
        <v>55</v>
      </c>
      <c r="Z38" s="0" t="s">
        <v>56</v>
      </c>
      <c r="AA38" s="0" t="s">
        <v>125</v>
      </c>
      <c r="AB38" s="0" t="s">
        <v>58</v>
      </c>
      <c r="AC38" s="0" t="s">
        <v>59</v>
      </c>
      <c r="AD38" s="0" t="s">
        <v>55</v>
      </c>
      <c r="AG38" s="0" t="s">
        <v>216</v>
      </c>
      <c r="AI38" s="0" t="s">
        <v>109</v>
      </c>
      <c r="AJ38" s="0" t="s">
        <v>127</v>
      </c>
      <c r="AL38" s="0" t="n">
        <v>2.75</v>
      </c>
      <c r="AM38" s="0" t="n">
        <v>9900</v>
      </c>
      <c r="AN38" s="0" t="n">
        <v>24</v>
      </c>
      <c r="AO38" s="0" t="n">
        <v>86400</v>
      </c>
      <c r="AP38" s="0" t="n">
        <v>0</v>
      </c>
      <c r="AQ38" s="0" t="n">
        <v>0</v>
      </c>
      <c r="AR38" s="0" t="s">
        <v>62</v>
      </c>
      <c r="AS38" s="0" t="s">
        <v>217</v>
      </c>
      <c r="AT38" s="0" t="s">
        <v>217</v>
      </c>
      <c r="AU38" s="0" t="s">
        <v>218</v>
      </c>
    </row>
    <row r="39" customFormat="false" ht="15" hidden="false" customHeight="false" outlineLevel="0" collapsed="false">
      <c r="A39" s="0" t="s">
        <v>65</v>
      </c>
      <c r="B39" s="0" t="s">
        <v>66</v>
      </c>
      <c r="C39" s="0" t="n">
        <v>1</v>
      </c>
      <c r="D39" s="0" t="n">
        <v>3600</v>
      </c>
      <c r="E39" s="0" t="s">
        <v>219</v>
      </c>
      <c r="F39" s="0" t="s">
        <v>50</v>
      </c>
      <c r="G39" s="0" t="s">
        <v>51</v>
      </c>
      <c r="H39" s="0" t="s">
        <v>52</v>
      </c>
      <c r="I39" s="0" t="s">
        <v>53</v>
      </c>
      <c r="L39" s="0" t="s">
        <v>54</v>
      </c>
      <c r="V39" s="0" t="s">
        <v>55</v>
      </c>
      <c r="Z39" s="0" t="s">
        <v>30</v>
      </c>
      <c r="AA39" s="0" t="s">
        <v>68</v>
      </c>
      <c r="AB39" s="0" t="s">
        <v>58</v>
      </c>
      <c r="AC39" s="0" t="s">
        <v>59</v>
      </c>
      <c r="AD39" s="0" t="s">
        <v>55</v>
      </c>
      <c r="AE39" s="0" t="s">
        <v>66</v>
      </c>
      <c r="AG39" s="0" t="s">
        <v>69</v>
      </c>
      <c r="AI39" s="0" t="s">
        <v>70</v>
      </c>
      <c r="AJ39" s="0" t="s">
        <v>70</v>
      </c>
      <c r="AL39" s="0" t="n">
        <v>1</v>
      </c>
      <c r="AM39" s="0" t="n">
        <v>3600</v>
      </c>
      <c r="AN39" s="0" t="n">
        <v>240</v>
      </c>
      <c r="AO39" s="0" t="n">
        <v>864000</v>
      </c>
      <c r="AP39" s="0" t="n">
        <v>104.5</v>
      </c>
      <c r="AQ39" s="0" t="n">
        <v>376200</v>
      </c>
      <c r="AR39" s="0" t="s">
        <v>62</v>
      </c>
      <c r="AS39" s="0" t="s">
        <v>217</v>
      </c>
      <c r="AT39" s="0" t="s">
        <v>217</v>
      </c>
      <c r="AU39" s="0" t="s">
        <v>220</v>
      </c>
    </row>
    <row r="40" customFormat="false" ht="15" hidden="false" customHeight="false" outlineLevel="0" collapsed="false">
      <c r="A40" s="0" t="s">
        <v>194</v>
      </c>
      <c r="B40" s="0" t="s">
        <v>195</v>
      </c>
      <c r="C40" s="0" t="n">
        <v>4.25</v>
      </c>
      <c r="D40" s="0" t="n">
        <v>15300</v>
      </c>
      <c r="E40" s="0" t="s">
        <v>221</v>
      </c>
      <c r="F40" s="0" t="s">
        <v>50</v>
      </c>
      <c r="G40" s="0" t="s">
        <v>51</v>
      </c>
      <c r="H40" s="0" t="s">
        <v>52</v>
      </c>
      <c r="I40" s="0" t="s">
        <v>53</v>
      </c>
      <c r="L40" s="0" t="s">
        <v>54</v>
      </c>
      <c r="V40" s="0" t="s">
        <v>55</v>
      </c>
      <c r="Z40" s="0" t="s">
        <v>56</v>
      </c>
      <c r="AA40" s="0" t="s">
        <v>197</v>
      </c>
      <c r="AB40" s="0" t="s">
        <v>58</v>
      </c>
      <c r="AC40" s="0" t="s">
        <v>59</v>
      </c>
      <c r="AD40" s="0" t="s">
        <v>55</v>
      </c>
      <c r="AF40" s="0" t="s">
        <v>106</v>
      </c>
      <c r="AG40" s="0" t="s">
        <v>222</v>
      </c>
      <c r="AH40" s="0" t="s">
        <v>108</v>
      </c>
      <c r="AI40" s="0" t="s">
        <v>109</v>
      </c>
      <c r="AJ40" s="0" t="s">
        <v>109</v>
      </c>
      <c r="AL40" s="0" t="n">
        <v>4.25</v>
      </c>
      <c r="AM40" s="0" t="n">
        <v>15300</v>
      </c>
      <c r="AN40" s="0" t="n">
        <v>12</v>
      </c>
      <c r="AO40" s="0" t="n">
        <v>43200</v>
      </c>
      <c r="AP40" s="0" t="n">
        <v>0</v>
      </c>
      <c r="AQ40" s="0" t="n">
        <v>0</v>
      </c>
      <c r="AR40" s="0" t="s">
        <v>62</v>
      </c>
      <c r="AS40" s="0" t="s">
        <v>223</v>
      </c>
      <c r="AT40" s="0" t="s">
        <v>223</v>
      </c>
      <c r="AU40" s="0" t="s">
        <v>224</v>
      </c>
    </row>
    <row r="41" customFormat="false" ht="15" hidden="false" customHeight="false" outlineLevel="0" collapsed="false">
      <c r="A41" s="0" t="s">
        <v>65</v>
      </c>
      <c r="B41" s="0" t="s">
        <v>66</v>
      </c>
      <c r="C41" s="0" t="n">
        <v>1</v>
      </c>
      <c r="D41" s="0" t="n">
        <v>3600</v>
      </c>
      <c r="E41" s="0" t="s">
        <v>225</v>
      </c>
      <c r="F41" s="0" t="s">
        <v>50</v>
      </c>
      <c r="G41" s="0" t="s">
        <v>51</v>
      </c>
      <c r="H41" s="0" t="s">
        <v>52</v>
      </c>
      <c r="I41" s="0" t="s">
        <v>53</v>
      </c>
      <c r="L41" s="0" t="s">
        <v>54</v>
      </c>
      <c r="V41" s="0" t="s">
        <v>55</v>
      </c>
      <c r="Z41" s="0" t="s">
        <v>30</v>
      </c>
      <c r="AA41" s="0" t="s">
        <v>68</v>
      </c>
      <c r="AB41" s="0" t="s">
        <v>58</v>
      </c>
      <c r="AC41" s="0" t="s">
        <v>59</v>
      </c>
      <c r="AD41" s="0" t="s">
        <v>55</v>
      </c>
      <c r="AE41" s="0" t="s">
        <v>66</v>
      </c>
      <c r="AG41" s="0" t="s">
        <v>69</v>
      </c>
      <c r="AI41" s="0" t="s">
        <v>70</v>
      </c>
      <c r="AJ41" s="0" t="s">
        <v>70</v>
      </c>
      <c r="AL41" s="0" t="n">
        <v>1</v>
      </c>
      <c r="AM41" s="0" t="n">
        <v>3600</v>
      </c>
      <c r="AN41" s="0" t="n">
        <v>240</v>
      </c>
      <c r="AO41" s="0" t="n">
        <v>864000</v>
      </c>
      <c r="AP41" s="0" t="n">
        <v>104.5</v>
      </c>
      <c r="AQ41" s="0" t="n">
        <v>376200</v>
      </c>
      <c r="AR41" s="0" t="s">
        <v>62</v>
      </c>
      <c r="AS41" s="0" t="s">
        <v>226</v>
      </c>
      <c r="AT41" s="0" t="s">
        <v>226</v>
      </c>
      <c r="AU41" s="0" t="s">
        <v>227</v>
      </c>
    </row>
    <row r="42" customFormat="false" ht="15" hidden="false" customHeight="false" outlineLevel="0" collapsed="false">
      <c r="A42" s="0" t="s">
        <v>228</v>
      </c>
      <c r="B42" s="0" t="s">
        <v>229</v>
      </c>
      <c r="C42" s="0" t="n">
        <v>6</v>
      </c>
      <c r="D42" s="0" t="n">
        <v>21600</v>
      </c>
      <c r="E42" s="0" t="s">
        <v>230</v>
      </c>
      <c r="F42" s="0" t="s">
        <v>50</v>
      </c>
      <c r="G42" s="0" t="s">
        <v>51</v>
      </c>
      <c r="H42" s="0" t="s">
        <v>52</v>
      </c>
      <c r="I42" s="0" t="s">
        <v>53</v>
      </c>
      <c r="L42" s="0" t="s">
        <v>54</v>
      </c>
      <c r="V42" s="0" t="s">
        <v>55</v>
      </c>
      <c r="Z42" s="0" t="s">
        <v>56</v>
      </c>
      <c r="AA42" s="0" t="s">
        <v>231</v>
      </c>
      <c r="AB42" s="0" t="s">
        <v>58</v>
      </c>
      <c r="AC42" s="0" t="s">
        <v>59</v>
      </c>
      <c r="AD42" s="0" t="s">
        <v>55</v>
      </c>
      <c r="AF42" s="0" t="s">
        <v>106</v>
      </c>
      <c r="AG42" s="0" t="s">
        <v>232</v>
      </c>
      <c r="AH42" s="0" t="s">
        <v>108</v>
      </c>
      <c r="AI42" s="0" t="s">
        <v>109</v>
      </c>
      <c r="AJ42" s="0" t="s">
        <v>50</v>
      </c>
      <c r="AL42" s="0" t="n">
        <v>6</v>
      </c>
      <c r="AM42" s="0" t="n">
        <v>21600</v>
      </c>
      <c r="AN42" s="0" t="n">
        <v>12</v>
      </c>
      <c r="AO42" s="0" t="n">
        <v>43200</v>
      </c>
      <c r="AP42" s="0" t="n">
        <v>0</v>
      </c>
      <c r="AQ42" s="0" t="n">
        <v>0</v>
      </c>
      <c r="AR42" s="0" t="s">
        <v>62</v>
      </c>
      <c r="AS42" s="0" t="s">
        <v>233</v>
      </c>
      <c r="AT42" s="0" t="s">
        <v>233</v>
      </c>
      <c r="AU42" s="0" t="s">
        <v>234</v>
      </c>
    </row>
    <row r="43" customFormat="false" ht="15" hidden="false" customHeight="false" outlineLevel="0" collapsed="false">
      <c r="A43" s="0" t="s">
        <v>235</v>
      </c>
      <c r="B43" s="0" t="s">
        <v>236</v>
      </c>
      <c r="C43" s="0" t="n">
        <v>0.5</v>
      </c>
      <c r="D43" s="0" t="n">
        <v>1800</v>
      </c>
      <c r="E43" s="0" t="s">
        <v>237</v>
      </c>
      <c r="F43" s="0" t="s">
        <v>50</v>
      </c>
      <c r="G43" s="0" t="s">
        <v>51</v>
      </c>
      <c r="H43" s="0" t="s">
        <v>52</v>
      </c>
      <c r="I43" s="0" t="s">
        <v>53</v>
      </c>
      <c r="L43" s="0" t="s">
        <v>54</v>
      </c>
      <c r="V43" s="0" t="s">
        <v>55</v>
      </c>
      <c r="Z43" s="0" t="s">
        <v>56</v>
      </c>
      <c r="AA43" s="0" t="s">
        <v>57</v>
      </c>
      <c r="AB43" s="0" t="s">
        <v>58</v>
      </c>
      <c r="AC43" s="0" t="s">
        <v>59</v>
      </c>
      <c r="AD43" s="0" t="s">
        <v>55</v>
      </c>
      <c r="AG43" s="0" t="s">
        <v>238</v>
      </c>
      <c r="AI43" s="0" t="s">
        <v>89</v>
      </c>
      <c r="AJ43" s="0" t="s">
        <v>89</v>
      </c>
      <c r="AL43" s="0" t="n">
        <v>0.5</v>
      </c>
      <c r="AM43" s="0" t="n">
        <v>1800</v>
      </c>
      <c r="AR43" s="0" t="s">
        <v>62</v>
      </c>
      <c r="AS43" s="0" t="s">
        <v>239</v>
      </c>
      <c r="AT43" s="0" t="s">
        <v>239</v>
      </c>
      <c r="AU43" s="0" t="s">
        <v>240</v>
      </c>
    </row>
    <row r="44" customFormat="false" ht="15" hidden="false" customHeight="false" outlineLevel="0" collapsed="false">
      <c r="A44" s="0" t="s">
        <v>65</v>
      </c>
      <c r="B44" s="0" t="s">
        <v>66</v>
      </c>
      <c r="C44" s="0" t="n">
        <v>1</v>
      </c>
      <c r="D44" s="0" t="n">
        <v>3600</v>
      </c>
      <c r="E44" s="0" t="s">
        <v>241</v>
      </c>
      <c r="F44" s="0" t="s">
        <v>50</v>
      </c>
      <c r="G44" s="0" t="s">
        <v>51</v>
      </c>
      <c r="H44" s="0" t="s">
        <v>52</v>
      </c>
      <c r="I44" s="0" t="s">
        <v>53</v>
      </c>
      <c r="L44" s="0" t="s">
        <v>54</v>
      </c>
      <c r="V44" s="0" t="s">
        <v>55</v>
      </c>
      <c r="Z44" s="0" t="s">
        <v>30</v>
      </c>
      <c r="AA44" s="0" t="s">
        <v>68</v>
      </c>
      <c r="AB44" s="0" t="s">
        <v>58</v>
      </c>
      <c r="AC44" s="0" t="s">
        <v>59</v>
      </c>
      <c r="AD44" s="0" t="s">
        <v>55</v>
      </c>
      <c r="AE44" s="0" t="s">
        <v>66</v>
      </c>
      <c r="AG44" s="0" t="s">
        <v>69</v>
      </c>
      <c r="AI44" s="0" t="s">
        <v>70</v>
      </c>
      <c r="AJ44" s="0" t="s">
        <v>70</v>
      </c>
      <c r="AL44" s="0" t="n">
        <v>1</v>
      </c>
      <c r="AM44" s="0" t="n">
        <v>3600</v>
      </c>
      <c r="AN44" s="0" t="n">
        <v>240</v>
      </c>
      <c r="AO44" s="0" t="n">
        <v>864000</v>
      </c>
      <c r="AP44" s="0" t="n">
        <v>104.5</v>
      </c>
      <c r="AQ44" s="0" t="n">
        <v>376200</v>
      </c>
      <c r="AR44" s="0" t="s">
        <v>62</v>
      </c>
      <c r="AS44" s="0" t="s">
        <v>242</v>
      </c>
      <c r="AT44" s="0" t="s">
        <v>242</v>
      </c>
      <c r="AU44" s="0" t="s">
        <v>243</v>
      </c>
    </row>
    <row r="45" customFormat="false" ht="15" hidden="false" customHeight="false" outlineLevel="0" collapsed="false">
      <c r="A45" s="0" t="s">
        <v>228</v>
      </c>
      <c r="B45" s="0" t="s">
        <v>229</v>
      </c>
      <c r="C45" s="0" t="n">
        <v>5.5</v>
      </c>
      <c r="D45" s="0" t="n">
        <v>19800</v>
      </c>
      <c r="E45" s="0" t="s">
        <v>244</v>
      </c>
      <c r="F45" s="0" t="s">
        <v>50</v>
      </c>
      <c r="G45" s="0" t="s">
        <v>51</v>
      </c>
      <c r="H45" s="0" t="s">
        <v>52</v>
      </c>
      <c r="I45" s="0" t="s">
        <v>53</v>
      </c>
      <c r="L45" s="0" t="s">
        <v>54</v>
      </c>
      <c r="V45" s="0" t="s">
        <v>55</v>
      </c>
      <c r="Z45" s="0" t="s">
        <v>56</v>
      </c>
      <c r="AA45" s="0" t="s">
        <v>231</v>
      </c>
      <c r="AB45" s="0" t="s">
        <v>58</v>
      </c>
      <c r="AC45" s="0" t="s">
        <v>59</v>
      </c>
      <c r="AD45" s="0" t="s">
        <v>55</v>
      </c>
      <c r="AF45" s="0" t="s">
        <v>106</v>
      </c>
      <c r="AG45" s="0" t="s">
        <v>245</v>
      </c>
      <c r="AH45" s="0" t="s">
        <v>108</v>
      </c>
      <c r="AI45" s="0" t="s">
        <v>109</v>
      </c>
      <c r="AJ45" s="0" t="s">
        <v>50</v>
      </c>
      <c r="AL45" s="0" t="n">
        <v>5.5</v>
      </c>
      <c r="AM45" s="0" t="n">
        <v>19800</v>
      </c>
      <c r="AN45" s="0" t="n">
        <v>12</v>
      </c>
      <c r="AO45" s="0" t="n">
        <v>43200</v>
      </c>
      <c r="AP45" s="0" t="n">
        <v>0</v>
      </c>
      <c r="AQ45" s="0" t="n">
        <v>0</v>
      </c>
      <c r="AR45" s="0" t="s">
        <v>62</v>
      </c>
      <c r="AS45" s="0" t="s">
        <v>246</v>
      </c>
      <c r="AT45" s="0" t="s">
        <v>246</v>
      </c>
      <c r="AU45" s="0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248</v>
      </c>
      <c r="B1" s="1" t="s">
        <v>249</v>
      </c>
      <c r="C1" s="1" t="s">
        <v>250</v>
      </c>
      <c r="D1" s="1" t="s">
        <v>251</v>
      </c>
    </row>
    <row r="2" customFormat="false" ht="23.85" hidden="false" customHeight="false" outlineLevel="0" collapsed="false">
      <c r="A2" s="2" t="str">
        <f aca="false">IF(Worklogs!A2="","",Worklogs!A2&amp;" "&amp;Worklogs!B2)</f>
        <v>CWL-2938 Please upload updated MDR DoC documents to the Phonak Certificates page  and removed the older documents</v>
      </c>
      <c r="B2" s="3" t="n">
        <f aca="false">IF(Worklogs!A2="","",INT(ROUND(Worklogs!D2/60,0)/60))</f>
        <v>5</v>
      </c>
      <c r="C2" s="3" t="n">
        <f aca="false">IF(Worklogs!A2="","",MOD(ROUND(Worklogs!D2/60,0),60))</f>
        <v>20</v>
      </c>
      <c r="D2" s="4" t="n">
        <f aca="false">IF(Worklogs!A2="","",DATEVALUE(LEFT(Worklogs!E2,10)))</f>
        <v>46266</v>
      </c>
    </row>
    <row r="3" customFormat="false" ht="15" hidden="false" customHeight="false" outlineLevel="0" collapsed="false">
      <c r="A3" s="2" t="str">
        <f aca="false">IF(Worklogs!A3="","",Worklogs!A3&amp;" "&amp;Worklogs!B3)</f>
        <v>CWL-2956 Ad hoc: September</v>
      </c>
      <c r="B3" s="3" t="n">
        <f aca="false">IF(Worklogs!A3="","",INT(ROUND(Worklogs!D3/60,0)/60))</f>
        <v>1</v>
      </c>
      <c r="C3" s="3" t="n">
        <f aca="false">IF(Worklogs!A3="","",MOD(ROUND(Worklogs!D3/60,0),60))</f>
        <v>0</v>
      </c>
      <c r="D3" s="4" t="n">
        <f aca="false">IF(Worklogs!A3="","",DATEVALUE(LEFT(Worklogs!E3,10)))</f>
        <v>46266</v>
      </c>
    </row>
    <row r="4" customFormat="false" ht="23.85" hidden="false" customHeight="false" outlineLevel="0" collapsed="false">
      <c r="A4" s="2" t="str">
        <f aca="false">IF(Worklogs!A4="","",Worklogs!A4&amp;" "&amp;Worklogs!B4)</f>
        <v>CWL-2938 Please upload updated MDR DoC documents to the Phonak Certificates page  and removed the older documents</v>
      </c>
      <c r="B4" s="3" t="n">
        <f aca="false">IF(Worklogs!A4="","",INT(ROUND(Worklogs!D4/60,0)/60))</f>
        <v>6</v>
      </c>
      <c r="C4" s="3" t="n">
        <f aca="false">IF(Worklogs!A4="","",MOD(ROUND(Worklogs!D4/60,0),60))</f>
        <v>30</v>
      </c>
      <c r="D4" s="4" t="n">
        <f aca="false">IF(Worklogs!A4="","",DATEVALUE(LEFT(Worklogs!E4,10)))</f>
        <v>46267</v>
      </c>
    </row>
    <row r="5" customFormat="false" ht="15" hidden="false" customHeight="false" outlineLevel="0" collapsed="false">
      <c r="A5" s="2" t="str">
        <f aca="false">IF(Worklogs!A5="","",Worklogs!A5&amp;" "&amp;Worklogs!B5)</f>
        <v>CWL-2956 Ad hoc: September</v>
      </c>
      <c r="B5" s="3" t="n">
        <f aca="false">IF(Worklogs!A5="","",INT(ROUND(Worklogs!D5/60,0)/60))</f>
        <v>1</v>
      </c>
      <c r="C5" s="3" t="n">
        <f aca="false">IF(Worklogs!A5="","",MOD(ROUND(Worklogs!D5/60,0),60))</f>
        <v>0</v>
      </c>
      <c r="D5" s="4" t="n">
        <f aca="false">IF(Worklogs!A5="","",DATEVALUE(LEFT(Worklogs!E5,10)))</f>
        <v>46267</v>
      </c>
    </row>
    <row r="6" customFormat="false" ht="15" hidden="false" customHeight="false" outlineLevel="0" collapsed="false">
      <c r="A6" s="2" t="str">
        <f aca="false">IF(Worklogs!A6="","",Worklogs!A6&amp;" "&amp;Worklogs!B6)</f>
        <v>CWL-2926 Brazil Hansaton Website Update - User Guides</v>
      </c>
      <c r="B6" s="3" t="n">
        <f aca="false">IF(Worklogs!A6="","",INT(ROUND(Worklogs!D6/60,0)/60))</f>
        <v>0</v>
      </c>
      <c r="C6" s="3" t="n">
        <f aca="false">IF(Worklogs!A6="","",MOD(ROUND(Worklogs!D6/60,0),60))</f>
        <v>10</v>
      </c>
      <c r="D6" s="4" t="n">
        <f aca="false">IF(Worklogs!A6="","",DATEVALUE(LEFT(Worklogs!E6,10)))</f>
        <v>46268</v>
      </c>
    </row>
    <row r="7" customFormat="false" ht="15" hidden="false" customHeight="false" outlineLevel="0" collapsed="false">
      <c r="A7" s="2" t="str">
        <f aca="false">IF(Worklogs!A7="","",Worklogs!A7&amp;" "&amp;Worklogs!B7)</f>
        <v>CWL-2943 HT_Website_Software Update Download Center 5.10.1</v>
      </c>
      <c r="B7" s="3" t="n">
        <f aca="false">IF(Worklogs!A7="","",INT(ROUND(Worklogs!D7/60,0)/60))</f>
        <v>0</v>
      </c>
      <c r="C7" s="3" t="n">
        <f aca="false">IF(Worklogs!A7="","",MOD(ROUND(Worklogs!D7/60,0),60))</f>
        <v>20</v>
      </c>
      <c r="D7" s="4" t="n">
        <f aca="false">IF(Worklogs!A7="","",DATEVALUE(LEFT(Worklogs!E7,10)))</f>
        <v>46268</v>
      </c>
    </row>
    <row r="8" customFormat="false" ht="15" hidden="false" customHeight="false" outlineLevel="0" collapsed="false">
      <c r="A8" s="2" t="str">
        <f aca="false">IF(Worklogs!A8="","",Worklogs!A8&amp;" "&amp;Worklogs!B8)</f>
        <v>CWL-2942 HT_Website_Download Center Spain</v>
      </c>
      <c r="B8" s="3" t="n">
        <f aca="false">IF(Worklogs!A8="","",INT(ROUND(Worklogs!D8/60,0)/60))</f>
        <v>0</v>
      </c>
      <c r="C8" s="3" t="n">
        <f aca="false">IF(Worklogs!A8="","",MOD(ROUND(Worklogs!D8/60,0),60))</f>
        <v>10</v>
      </c>
      <c r="D8" s="4" t="n">
        <f aca="false">IF(Worklogs!A8="","",DATEVALUE(LEFT(Worklogs!E8,10)))</f>
        <v>46268</v>
      </c>
    </row>
    <row r="9" customFormat="false" ht="15" hidden="false" customHeight="false" outlineLevel="0" collapsed="false">
      <c r="A9" s="2" t="str">
        <f aca="false">IF(Worklogs!A9="","",Worklogs!A9&amp;" "&amp;Worklogs!B9)</f>
        <v>CWL-2956 Ad hoc: September</v>
      </c>
      <c r="B9" s="3" t="n">
        <f aca="false">IF(Worklogs!A9="","",INT(ROUND(Worklogs!D9/60,0)/60))</f>
        <v>1</v>
      </c>
      <c r="C9" s="3" t="n">
        <f aca="false">IF(Worklogs!A9="","",MOD(ROUND(Worklogs!D9/60,0),60))</f>
        <v>0</v>
      </c>
      <c r="D9" s="4" t="n">
        <f aca="false">IF(Worklogs!A9="","",DATEVALUE(LEFT(Worklogs!E9,10)))</f>
        <v>46268</v>
      </c>
    </row>
    <row r="10" customFormat="false" ht="23.85" hidden="false" customHeight="false" outlineLevel="0" collapsed="false">
      <c r="A10" s="2" t="str">
        <f aca="false">IF(Worklogs!A10="","",Worklogs!A10&amp;" "&amp;Worklogs!B10)</f>
        <v>CWL-2938 Please upload updated MDR DoC documents to the Phonak Certificates page  and removed the older documents</v>
      </c>
      <c r="B10" s="3" t="n">
        <f aca="false">IF(Worklogs!A10="","",INT(ROUND(Worklogs!D10/60,0)/60))</f>
        <v>0</v>
      </c>
      <c r="C10" s="3" t="n">
        <f aca="false">IF(Worklogs!A10="","",MOD(ROUND(Worklogs!D10/60,0),60))</f>
        <v>20</v>
      </c>
      <c r="D10" s="4" t="n">
        <f aca="false">IF(Worklogs!A10="","",DATEVALUE(LEFT(Worklogs!E10,10)))</f>
        <v>46268</v>
      </c>
    </row>
    <row r="11" customFormat="false" ht="15" hidden="false" customHeight="false" outlineLevel="0" collapsed="false">
      <c r="A11" s="2" t="str">
        <f aca="false">IF(Worklogs!A11="","",Worklogs!A11&amp;" "&amp;Worklogs!B11)</f>
        <v>CWL-2958 Localization PH s3 - DE</v>
      </c>
      <c r="B11" s="3" t="n">
        <f aca="false">IF(Worklogs!A11="","",INT(ROUND(Worklogs!D11/60,0)/60))</f>
        <v>6</v>
      </c>
      <c r="C11" s="3" t="n">
        <f aca="false">IF(Worklogs!A11="","",MOD(ROUND(Worklogs!D11/60,0),60))</f>
        <v>0</v>
      </c>
      <c r="D11" s="4" t="n">
        <f aca="false">IF(Worklogs!A11="","",DATEVALUE(LEFT(Worklogs!E11,10)))</f>
        <v>46268</v>
      </c>
    </row>
    <row r="12" customFormat="false" ht="15" hidden="false" customHeight="false" outlineLevel="0" collapsed="false">
      <c r="A12" s="2" t="str">
        <f aca="false">IF(Worklogs!A12="","",Worklogs!A12&amp;" "&amp;Worklogs!B12)</f>
        <v>CWL-2956 Ad hoc: September</v>
      </c>
      <c r="B12" s="3" t="n">
        <f aca="false">IF(Worklogs!A12="","",INT(ROUND(Worklogs!D12/60,0)/60))</f>
        <v>1</v>
      </c>
      <c r="C12" s="3" t="n">
        <f aca="false">IF(Worklogs!A12="","",MOD(ROUND(Worklogs!D12/60,0),60))</f>
        <v>0</v>
      </c>
      <c r="D12" s="4" t="n">
        <f aca="false">IF(Worklogs!A12="","",DATEVALUE(LEFT(Worklogs!E12,10)))</f>
        <v>46269</v>
      </c>
    </row>
    <row r="13" customFormat="false" ht="15" hidden="false" customHeight="false" outlineLevel="0" collapsed="false">
      <c r="A13" s="2" t="str">
        <f aca="false">IF(Worklogs!A13="","",Worklogs!A13&amp;" "&amp;Worklogs!B13)</f>
        <v>CWL-2958 Localization PH s3 - DE</v>
      </c>
      <c r="B13" s="3" t="n">
        <f aca="false">IF(Worklogs!A13="","",INT(ROUND(Worklogs!D13/60,0)/60))</f>
        <v>6</v>
      </c>
      <c r="C13" s="3" t="n">
        <f aca="false">IF(Worklogs!A13="","",MOD(ROUND(Worklogs!D13/60,0),60))</f>
        <v>48</v>
      </c>
      <c r="D13" s="4" t="n">
        <f aca="false">IF(Worklogs!A13="","",DATEVALUE(LEFT(Worklogs!E13,10)))</f>
        <v>46269</v>
      </c>
    </row>
    <row r="14" customFormat="false" ht="15" hidden="false" customHeight="false" outlineLevel="0" collapsed="false">
      <c r="A14" s="2" t="str">
        <f aca="false">IF(Worklogs!A14="","",Worklogs!A14&amp;" "&amp;Worklogs!B14)</f>
        <v>CWL-2956 Ad hoc: September</v>
      </c>
      <c r="B14" s="3" t="n">
        <f aca="false">IF(Worklogs!A14="","",INT(ROUND(Worklogs!D14/60,0)/60))</f>
        <v>1</v>
      </c>
      <c r="C14" s="3" t="n">
        <f aca="false">IF(Worklogs!A14="","",MOD(ROUND(Worklogs!D14/60,0),60))</f>
        <v>0</v>
      </c>
      <c r="D14" s="4" t="n">
        <f aca="false">IF(Worklogs!A14="","",DATEVALUE(LEFT(Worklogs!E14,10)))</f>
        <v>46272</v>
      </c>
    </row>
    <row r="15" customFormat="false" ht="15" hidden="false" customHeight="false" outlineLevel="0" collapsed="false">
      <c r="A15" s="2" t="str">
        <f aca="false">IF(Worklogs!A15="","",Worklogs!A15&amp;" "&amp;Worklogs!B15)</f>
        <v>CWL-2955 Update of Support Banner Into Content Fragment</v>
      </c>
      <c r="B15" s="3" t="n">
        <f aca="false">IF(Worklogs!A15="","",INT(ROUND(Worklogs!D15/60,0)/60))</f>
        <v>5</v>
      </c>
      <c r="C15" s="3" t="n">
        <f aca="false">IF(Worklogs!A15="","",MOD(ROUND(Worklogs!D15/60,0),60))</f>
        <v>0</v>
      </c>
      <c r="D15" s="4" t="n">
        <f aca="false">IF(Worklogs!A15="","",DATEVALUE(LEFT(Worklogs!E15,10)))</f>
        <v>46272</v>
      </c>
    </row>
    <row r="16" customFormat="false" ht="15" hidden="false" customHeight="false" outlineLevel="0" collapsed="false">
      <c r="A16" s="2" t="str">
        <f aca="false">IF(Worklogs!A16="","",Worklogs!A16&amp;" "&amp;Worklogs!B16)</f>
        <v>CWL-2956 Ad hoc: September</v>
      </c>
      <c r="B16" s="3" t="n">
        <f aca="false">IF(Worklogs!A16="","",INT(ROUND(Worklogs!D16/60,0)/60))</f>
        <v>1</v>
      </c>
      <c r="C16" s="3" t="n">
        <f aca="false">IF(Worklogs!A16="","",MOD(ROUND(Worklogs!D16/60,0),60))</f>
        <v>0</v>
      </c>
      <c r="D16" s="4" t="n">
        <f aca="false">IF(Worklogs!A16="","",DATEVALUE(LEFT(Worklogs!E16,10)))</f>
        <v>46273</v>
      </c>
    </row>
    <row r="17" customFormat="false" ht="15" hidden="false" customHeight="false" outlineLevel="0" collapsed="false">
      <c r="A17" s="2" t="str">
        <f aca="false">IF(Worklogs!A17="","",Worklogs!A17&amp;" "&amp;Worklogs!B17)</f>
        <v>CWL-2955 Update of Support Banner Into Content Fragment</v>
      </c>
      <c r="B17" s="3" t="n">
        <f aca="false">IF(Worklogs!A17="","",INT(ROUND(Worklogs!D17/60,0)/60))</f>
        <v>5</v>
      </c>
      <c r="C17" s="3" t="n">
        <f aca="false">IF(Worklogs!A17="","",MOD(ROUND(Worklogs!D17/60,0),60))</f>
        <v>10</v>
      </c>
      <c r="D17" s="4" t="n">
        <f aca="false">IF(Worklogs!A17="","",DATEVALUE(LEFT(Worklogs!E17,10)))</f>
        <v>46273</v>
      </c>
    </row>
    <row r="18" customFormat="false" ht="15" hidden="false" customHeight="false" outlineLevel="0" collapsed="false">
      <c r="A18" s="2" t="str">
        <f aca="false">IF(Worklogs!A18="","",Worklogs!A18&amp;" "&amp;Worklogs!B18)</f>
        <v>CWL-2956 Ad hoc: September</v>
      </c>
      <c r="B18" s="3" t="n">
        <f aca="false">IF(Worklogs!A18="","",INT(ROUND(Worklogs!D18/60,0)/60))</f>
        <v>1</v>
      </c>
      <c r="C18" s="3" t="n">
        <f aca="false">IF(Worklogs!A18="","",MOD(ROUND(Worklogs!D18/60,0),60))</f>
        <v>0</v>
      </c>
      <c r="D18" s="4" t="n">
        <f aca="false">IF(Worklogs!A18="","",DATEVALUE(LEFT(Worklogs!E18,10)))</f>
        <v>46274</v>
      </c>
    </row>
    <row r="19" customFormat="false" ht="15" hidden="false" customHeight="false" outlineLevel="0" collapsed="false">
      <c r="A19" s="2" t="str">
        <f aca="false">IF(Worklogs!A19="","",Worklogs!A19&amp;" "&amp;Worklogs!B19)</f>
        <v>CWL-2963 Update Phonak.de for Season 3-2026</v>
      </c>
      <c r="B19" s="3" t="n">
        <f aca="false">IF(Worklogs!A19="","",INT(ROUND(Worklogs!D19/60,0)/60))</f>
        <v>5</v>
      </c>
      <c r="C19" s="3" t="n">
        <f aca="false">IF(Worklogs!A19="","",MOD(ROUND(Worklogs!D19/60,0),60))</f>
        <v>0</v>
      </c>
      <c r="D19" s="4" t="n">
        <f aca="false">IF(Worklogs!A19="","",DATEVALUE(LEFT(Worklogs!E19,10)))</f>
        <v>46274</v>
      </c>
    </row>
    <row r="20" customFormat="false" ht="15" hidden="false" customHeight="false" outlineLevel="0" collapsed="false">
      <c r="A20" s="2" t="str">
        <f aca="false">IF(Worklogs!A20="","",Worklogs!A20&amp;" "&amp;Worklogs!B20)</f>
        <v>CWL-2956 Ad hoc: September</v>
      </c>
      <c r="B20" s="3" t="n">
        <f aca="false">IF(Worklogs!A20="","",INT(ROUND(Worklogs!D20/60,0)/60))</f>
        <v>1</v>
      </c>
      <c r="C20" s="3" t="n">
        <f aca="false">IF(Worklogs!A20="","",MOD(ROUND(Worklogs!D20/60,0),60))</f>
        <v>0</v>
      </c>
      <c r="D20" s="4" t="n">
        <f aca="false">IF(Worklogs!A20="","",DATEVALUE(LEFT(Worklogs!E20,10)))</f>
        <v>46275</v>
      </c>
    </row>
    <row r="21" customFormat="false" ht="15" hidden="false" customHeight="false" outlineLevel="0" collapsed="false">
      <c r="A21" s="2" t="str">
        <f aca="false">IF(Worklogs!A21="","",Worklogs!A21&amp;" "&amp;Worklogs!B21)</f>
        <v>CWL-2955 Update of Support Banner Into Content Fragment</v>
      </c>
      <c r="B21" s="3" t="n">
        <f aca="false">IF(Worklogs!A21="","",INT(ROUND(Worklogs!D21/60,0)/60))</f>
        <v>5</v>
      </c>
      <c r="C21" s="3" t="n">
        <f aca="false">IF(Worklogs!A21="","",MOD(ROUND(Worklogs!D21/60,0),60))</f>
        <v>20</v>
      </c>
      <c r="D21" s="4" t="n">
        <f aca="false">IF(Worklogs!A21="","",DATEVALUE(LEFT(Worklogs!E21,10)))</f>
        <v>46275</v>
      </c>
    </row>
    <row r="22" customFormat="false" ht="23.85" hidden="false" customHeight="false" outlineLevel="0" collapsed="false">
      <c r="A22" s="2" t="str">
        <f aca="false">IF(Worklogs!A22="","",Worklogs!A22&amp;" "&amp;Worklogs!B22)</f>
        <v>CWL-2938 Please upload updated MDR DoC documents to the Phonak Certificates page  and removed the older documents</v>
      </c>
      <c r="B22" s="3" t="n">
        <f aca="false">IF(Worklogs!A22="","",INT(ROUND(Worklogs!D22/60,0)/60))</f>
        <v>1</v>
      </c>
      <c r="C22" s="3" t="n">
        <f aca="false">IF(Worklogs!A22="","",MOD(ROUND(Worklogs!D22/60,0),60))</f>
        <v>30</v>
      </c>
      <c r="D22" s="4" t="n">
        <f aca="false">IF(Worklogs!A22="","",DATEVALUE(LEFT(Worklogs!E22,10)))</f>
        <v>46276</v>
      </c>
    </row>
    <row r="23" customFormat="false" ht="15" hidden="false" customHeight="false" outlineLevel="0" collapsed="false">
      <c r="A23" s="2" t="str">
        <f aca="false">IF(Worklogs!A23="","",Worklogs!A23&amp;" "&amp;Worklogs!B23)</f>
        <v>CWL-2956 Ad hoc: September</v>
      </c>
      <c r="B23" s="3" t="n">
        <f aca="false">IF(Worklogs!A23="","",INT(ROUND(Worklogs!D23/60,0)/60))</f>
        <v>1</v>
      </c>
      <c r="C23" s="3" t="n">
        <f aca="false">IF(Worklogs!A23="","",MOD(ROUND(Worklogs!D23/60,0),60))</f>
        <v>0</v>
      </c>
      <c r="D23" s="4" t="n">
        <f aca="false">IF(Worklogs!A23="","",DATEVALUE(LEFT(Worklogs!E23,10)))</f>
        <v>46276</v>
      </c>
    </row>
    <row r="24" customFormat="false" ht="15" hidden="false" customHeight="false" outlineLevel="0" collapsed="false">
      <c r="A24" s="2" t="str">
        <f aca="false">IF(Worklogs!A24="","",Worklogs!A24&amp;" "&amp;Worklogs!B24)</f>
        <v>CWL-2958 Localization PH s3 - DE</v>
      </c>
      <c r="B24" s="3" t="n">
        <f aca="false">IF(Worklogs!A24="","",INT(ROUND(Worklogs!D24/60,0)/60))</f>
        <v>5</v>
      </c>
      <c r="C24" s="3" t="n">
        <f aca="false">IF(Worklogs!A24="","",MOD(ROUND(Worklogs!D24/60,0),60))</f>
        <v>30</v>
      </c>
      <c r="D24" s="4" t="n">
        <f aca="false">IF(Worklogs!A24="","",DATEVALUE(LEFT(Worklogs!E24,10)))</f>
        <v>46276</v>
      </c>
    </row>
    <row r="25" customFormat="false" ht="15" hidden="false" customHeight="false" outlineLevel="0" collapsed="false">
      <c r="A25" s="2" t="str">
        <f aca="false">IF(Worklogs!A25="","",Worklogs!A25&amp;" "&amp;Worklogs!B25)</f>
        <v>CWL-2970 myPhonak</v>
      </c>
      <c r="B25" s="3" t="n">
        <f aca="false">IF(Worklogs!A25="","",INT(ROUND(Worklogs!D25/60,0)/60))</f>
        <v>3</v>
      </c>
      <c r="C25" s="3" t="n">
        <f aca="false">IF(Worklogs!A25="","",MOD(ROUND(Worklogs!D25/60,0),60))</f>
        <v>0</v>
      </c>
      <c r="D25" s="4" t="n">
        <f aca="false">IF(Worklogs!A25="","",DATEVALUE(LEFT(Worklogs!E25,10)))</f>
        <v>46286</v>
      </c>
    </row>
    <row r="26" customFormat="false" ht="15" hidden="false" customHeight="false" outlineLevel="0" collapsed="false">
      <c r="A26" s="2" t="str">
        <f aca="false">IF(Worklogs!A26="","",Worklogs!A26&amp;" "&amp;Worklogs!B26)</f>
        <v>CWL-2956 Ad hoc: September</v>
      </c>
      <c r="B26" s="3" t="n">
        <f aca="false">IF(Worklogs!A26="","",INT(ROUND(Worklogs!D26/60,0)/60))</f>
        <v>1</v>
      </c>
      <c r="C26" s="3" t="n">
        <f aca="false">IF(Worklogs!A26="","",MOD(ROUND(Worklogs!D26/60,0),60))</f>
        <v>0</v>
      </c>
      <c r="D26" s="4" t="n">
        <f aca="false">IF(Worklogs!A26="","",DATEVALUE(LEFT(Worklogs!E26,10)))</f>
        <v>46286</v>
      </c>
    </row>
    <row r="27" customFormat="false" ht="15" hidden="false" customHeight="false" outlineLevel="0" collapsed="false">
      <c r="A27" s="2" t="str">
        <f aca="false">IF(Worklogs!A27="","",Worklogs!A27&amp;" "&amp;Worklogs!B27)</f>
        <v>CWL-2955 Update of Support Banner Into Content Fragment</v>
      </c>
      <c r="B27" s="3" t="n">
        <f aca="false">IF(Worklogs!A27="","",INT(ROUND(Worklogs!D27/60,0)/60))</f>
        <v>3</v>
      </c>
      <c r="C27" s="3" t="n">
        <f aca="false">IF(Worklogs!A27="","",MOD(ROUND(Worklogs!D27/60,0),60))</f>
        <v>0</v>
      </c>
      <c r="D27" s="4" t="n">
        <f aca="false">IF(Worklogs!A27="","",DATEVALUE(LEFT(Worklogs!E27,10)))</f>
        <v>46286</v>
      </c>
    </row>
    <row r="28" customFormat="false" ht="15" hidden="false" customHeight="false" outlineLevel="0" collapsed="false">
      <c r="A28" s="2" t="str">
        <f aca="false">IF(Worklogs!A28="","",Worklogs!A28&amp;" "&amp;Worklogs!B28)</f>
        <v>CWL-2970 myPhonak</v>
      </c>
      <c r="B28" s="3" t="n">
        <f aca="false">IF(Worklogs!A28="","",INT(ROUND(Worklogs!D28/60,0)/60))</f>
        <v>1</v>
      </c>
      <c r="C28" s="3" t="n">
        <f aca="false">IF(Worklogs!A28="","",MOD(ROUND(Worklogs!D28/60,0),60))</f>
        <v>30</v>
      </c>
      <c r="D28" s="4" t="n">
        <f aca="false">IF(Worklogs!A28="","",DATEVALUE(LEFT(Worklogs!E28,10)))</f>
        <v>46287</v>
      </c>
    </row>
    <row r="29" customFormat="false" ht="15" hidden="false" customHeight="false" outlineLevel="0" collapsed="false">
      <c r="A29" s="2" t="str">
        <f aca="false">IF(Worklogs!A29="","",Worklogs!A29&amp;" "&amp;Worklogs!B29)</f>
        <v>CWL-2970 myPhonak</v>
      </c>
      <c r="B29" s="3" t="n">
        <f aca="false">IF(Worklogs!A29="","",INT(ROUND(Worklogs!D29/60,0)/60))</f>
        <v>1</v>
      </c>
      <c r="C29" s="3" t="n">
        <f aca="false">IF(Worklogs!A29="","",MOD(ROUND(Worklogs!D29/60,0),60))</f>
        <v>0</v>
      </c>
      <c r="D29" s="4" t="n">
        <f aca="false">IF(Worklogs!A29="","",DATEVALUE(LEFT(Worklogs!E29,10)))</f>
        <v>46287</v>
      </c>
    </row>
    <row r="30" customFormat="false" ht="15" hidden="false" customHeight="false" outlineLevel="0" collapsed="false">
      <c r="A30" s="2" t="str">
        <f aca="false">IF(Worklogs!A30="","",Worklogs!A30&amp;" "&amp;Worklogs!B30)</f>
        <v>CWL-2955 Update of Support Banner Into Content Fragment</v>
      </c>
      <c r="B30" s="3" t="n">
        <f aca="false">IF(Worklogs!A30="","",INT(ROUND(Worklogs!D30/60,0)/60))</f>
        <v>2</v>
      </c>
      <c r="C30" s="3" t="n">
        <f aca="false">IF(Worklogs!A30="","",MOD(ROUND(Worklogs!D30/60,0),60))</f>
        <v>0</v>
      </c>
      <c r="D30" s="4" t="n">
        <f aca="false">IF(Worklogs!A30="","",DATEVALUE(LEFT(Worklogs!E30,10)))</f>
        <v>46287</v>
      </c>
    </row>
    <row r="31" customFormat="false" ht="15" hidden="false" customHeight="false" outlineLevel="0" collapsed="false">
      <c r="A31" s="2" t="str">
        <f aca="false">IF(Worklogs!A31="","",Worklogs!A31&amp;" "&amp;Worklogs!B31)</f>
        <v>CWL-2956 Ad hoc: September</v>
      </c>
      <c r="B31" s="3" t="n">
        <f aca="false">IF(Worklogs!A31="","",INT(ROUND(Worklogs!D31/60,0)/60))</f>
        <v>1</v>
      </c>
      <c r="C31" s="3" t="n">
        <f aca="false">IF(Worklogs!A31="","",MOD(ROUND(Worklogs!D31/60,0),60))</f>
        <v>0</v>
      </c>
      <c r="D31" s="4" t="n">
        <f aca="false">IF(Worklogs!A31="","",DATEVALUE(LEFT(Worklogs!E31,10)))</f>
        <v>46288</v>
      </c>
    </row>
    <row r="32" customFormat="false" ht="15" hidden="false" customHeight="false" outlineLevel="0" collapsed="false">
      <c r="A32" s="2" t="str">
        <f aca="false">IF(Worklogs!A32="","",Worklogs!A32&amp;" "&amp;Worklogs!B32)</f>
        <v>CWL-2955 Update of Support Banner Into Content Fragment</v>
      </c>
      <c r="B32" s="3" t="n">
        <f aca="false">IF(Worklogs!A32="","",INT(ROUND(Worklogs!D32/60,0)/60))</f>
        <v>3</v>
      </c>
      <c r="C32" s="3" t="n">
        <f aca="false">IF(Worklogs!A32="","",MOD(ROUND(Worklogs!D32/60,0),60))</f>
        <v>0</v>
      </c>
      <c r="D32" s="4" t="n">
        <f aca="false">IF(Worklogs!A32="","",DATEVALUE(LEFT(Worklogs!E32,10)))</f>
        <v>46288</v>
      </c>
    </row>
    <row r="33" customFormat="false" ht="15" hidden="false" customHeight="false" outlineLevel="0" collapsed="false">
      <c r="A33" s="2" t="str">
        <f aca="false">IF(Worklogs!A33="","",Worklogs!A33&amp;" "&amp;Worklogs!B33)</f>
        <v>CWL-2971 PH_S3 Localization SV</v>
      </c>
      <c r="B33" s="3" t="n">
        <f aca="false">IF(Worklogs!A33="","",INT(ROUND(Worklogs!D33/60,0)/60))</f>
        <v>3</v>
      </c>
      <c r="C33" s="3" t="n">
        <f aca="false">IF(Worklogs!A33="","",MOD(ROUND(Worklogs!D33/60,0),60))</f>
        <v>0</v>
      </c>
      <c r="D33" s="4" t="n">
        <f aca="false">IF(Worklogs!A33="","",DATEVALUE(LEFT(Worklogs!E33,10)))</f>
        <v>46288</v>
      </c>
    </row>
    <row r="34" customFormat="false" ht="15" hidden="false" customHeight="false" outlineLevel="0" collapsed="false">
      <c r="A34" s="2" t="str">
        <f aca="false">IF(Worklogs!A34="","",Worklogs!A34&amp;" "&amp;Worklogs!B34)</f>
        <v>CWL-2956 Ad hoc: September</v>
      </c>
      <c r="B34" s="3" t="n">
        <f aca="false">IF(Worklogs!A34="","",INT(ROUND(Worklogs!D34/60,0)/60))</f>
        <v>1</v>
      </c>
      <c r="C34" s="3" t="n">
        <f aca="false">IF(Worklogs!A34="","",MOD(ROUND(Worklogs!D34/60,0),60))</f>
        <v>0</v>
      </c>
      <c r="D34" s="4" t="n">
        <f aca="false">IF(Worklogs!A34="","",DATEVALUE(LEFT(Worklogs!E34,10)))</f>
        <v>46289</v>
      </c>
    </row>
    <row r="35" customFormat="false" ht="15" hidden="false" customHeight="false" outlineLevel="0" collapsed="false">
      <c r="A35" s="2" t="str">
        <f aca="false">IF(Worklogs!A35="","",Worklogs!A35&amp;" "&amp;Worklogs!B35)</f>
        <v>CWL-2971 PH_S3 Localization SV</v>
      </c>
      <c r="B35" s="3" t="n">
        <f aca="false">IF(Worklogs!A35="","",INT(ROUND(Worklogs!D35/60,0)/60))</f>
        <v>6</v>
      </c>
      <c r="C35" s="3" t="n">
        <f aca="false">IF(Worklogs!A35="","",MOD(ROUND(Worklogs!D35/60,0),60))</f>
        <v>0</v>
      </c>
      <c r="D35" s="4" t="n">
        <f aca="false">IF(Worklogs!A35="","",DATEVALUE(LEFT(Worklogs!E35,10)))</f>
        <v>46289</v>
      </c>
    </row>
    <row r="36" customFormat="false" ht="15" hidden="false" customHeight="false" outlineLevel="0" collapsed="false">
      <c r="A36" s="2" t="str">
        <f aca="false">IF(Worklogs!A36="","",Worklogs!A36&amp;" "&amp;Worklogs!B36)</f>
        <v>CWL-2956 Ad hoc: September</v>
      </c>
      <c r="B36" s="3" t="n">
        <f aca="false">IF(Worklogs!A36="","",INT(ROUND(Worklogs!D36/60,0)/60))</f>
        <v>1</v>
      </c>
      <c r="C36" s="3" t="n">
        <f aca="false">IF(Worklogs!A36="","",MOD(ROUND(Worklogs!D36/60,0),60))</f>
        <v>0</v>
      </c>
      <c r="D36" s="4" t="n">
        <f aca="false">IF(Worklogs!A36="","",DATEVALUE(LEFT(Worklogs!E36,10)))</f>
        <v>46290</v>
      </c>
    </row>
    <row r="37" customFormat="false" ht="15" hidden="false" customHeight="false" outlineLevel="0" collapsed="false">
      <c r="A37" s="2" t="str">
        <f aca="false">IF(Worklogs!A37="","",Worklogs!A37&amp;" "&amp;Worklogs!B37)</f>
        <v>CWL-2971 PH_S3 Localization SV</v>
      </c>
      <c r="B37" s="3" t="n">
        <f aca="false">IF(Worklogs!A37="","",INT(ROUND(Worklogs!D37/60,0)/60))</f>
        <v>6</v>
      </c>
      <c r="C37" s="3" t="n">
        <f aca="false">IF(Worklogs!A37="","",MOD(ROUND(Worklogs!D37/60,0),60))</f>
        <v>30</v>
      </c>
      <c r="D37" s="4" t="n">
        <f aca="false">IF(Worklogs!A37="","",DATEVALUE(LEFT(Worklogs!E37,10)))</f>
        <v>46290</v>
      </c>
    </row>
    <row r="38" customFormat="false" ht="15" hidden="false" customHeight="false" outlineLevel="0" collapsed="false">
      <c r="A38" s="2" t="str">
        <f aca="false">IF(Worklogs!A38="","",Worklogs!A38&amp;" "&amp;Worklogs!B38)</f>
        <v>CWL-2955 Update of Support Banner Into Content Fragment</v>
      </c>
      <c r="B38" s="3" t="n">
        <f aca="false">IF(Worklogs!A38="","",INT(ROUND(Worklogs!D38/60,0)/60))</f>
        <v>2</v>
      </c>
      <c r="C38" s="3" t="n">
        <f aca="false">IF(Worklogs!A38="","",MOD(ROUND(Worklogs!D38/60,0),60))</f>
        <v>45</v>
      </c>
      <c r="D38" s="4" t="n">
        <f aca="false">IF(Worklogs!A38="","",DATEVALUE(LEFT(Worklogs!E38,10)))</f>
        <v>46293</v>
      </c>
    </row>
    <row r="39" customFormat="false" ht="15" hidden="false" customHeight="false" outlineLevel="0" collapsed="false">
      <c r="A39" s="2" t="str">
        <f aca="false">IF(Worklogs!A39="","",Worklogs!A39&amp;" "&amp;Worklogs!B39)</f>
        <v>CWL-2956 Ad hoc: September</v>
      </c>
      <c r="B39" s="3" t="n">
        <f aca="false">IF(Worklogs!A39="","",INT(ROUND(Worklogs!D39/60,0)/60))</f>
        <v>1</v>
      </c>
      <c r="C39" s="3" t="n">
        <f aca="false">IF(Worklogs!A39="","",MOD(ROUND(Worklogs!D39/60,0),60))</f>
        <v>0</v>
      </c>
      <c r="D39" s="4" t="n">
        <f aca="false">IF(Worklogs!A39="","",DATEVALUE(LEFT(Worklogs!E39,10)))</f>
        <v>46293</v>
      </c>
    </row>
    <row r="40" customFormat="false" ht="15" hidden="false" customHeight="false" outlineLevel="0" collapsed="false">
      <c r="A40" s="2" t="str">
        <f aca="false">IF(Worklogs!A40="","",Worklogs!A40&amp;" "&amp;Worklogs!B40)</f>
        <v>CWL-2971 PH_S3 Localization SV</v>
      </c>
      <c r="B40" s="3" t="n">
        <f aca="false">IF(Worklogs!A40="","",INT(ROUND(Worklogs!D40/60,0)/60))</f>
        <v>4</v>
      </c>
      <c r="C40" s="3" t="n">
        <f aca="false">IF(Worklogs!A40="","",MOD(ROUND(Worklogs!D40/60,0),60))</f>
        <v>15</v>
      </c>
      <c r="D40" s="4" t="n">
        <f aca="false">IF(Worklogs!A40="","",DATEVALUE(LEFT(Worklogs!E40,10)))</f>
        <v>46293</v>
      </c>
    </row>
    <row r="41" customFormat="false" ht="15" hidden="false" customHeight="false" outlineLevel="0" collapsed="false">
      <c r="A41" s="2" t="str">
        <f aca="false">IF(Worklogs!A41="","",Worklogs!A41&amp;" "&amp;Worklogs!B41)</f>
        <v>CWL-2956 Ad hoc: September</v>
      </c>
      <c r="B41" s="3" t="n">
        <f aca="false">IF(Worklogs!A41="","",INT(ROUND(Worklogs!D41/60,0)/60))</f>
        <v>1</v>
      </c>
      <c r="C41" s="3" t="n">
        <f aca="false">IF(Worklogs!A41="","",MOD(ROUND(Worklogs!D41/60,0),60))</f>
        <v>0</v>
      </c>
      <c r="D41" s="4" t="n">
        <f aca="false">IF(Worklogs!A41="","",DATEVALUE(LEFT(Worklogs!E41,10)))</f>
        <v>46294</v>
      </c>
    </row>
    <row r="42" customFormat="false" ht="15" hidden="false" customHeight="false" outlineLevel="0" collapsed="false">
      <c r="A42" s="2" t="str">
        <f aca="false">IF(Worklogs!A42="","",Worklogs!A42&amp;" "&amp;Worklogs!B42)</f>
        <v>CWL-2998 PH_S3 Localization HU- go-oct 12</v>
      </c>
      <c r="B42" s="3" t="n">
        <f aca="false">IF(Worklogs!A42="","",INT(ROUND(Worklogs!D42/60,0)/60))</f>
        <v>6</v>
      </c>
      <c r="C42" s="3" t="n">
        <f aca="false">IF(Worklogs!A42="","",MOD(ROUND(Worklogs!D42/60,0),60))</f>
        <v>0</v>
      </c>
      <c r="D42" s="4" t="n">
        <f aca="false">IF(Worklogs!A42="","",DATEVALUE(LEFT(Worklogs!E42,10)))</f>
        <v>46294</v>
      </c>
    </row>
    <row r="43" customFormat="false" ht="15" hidden="false" customHeight="false" outlineLevel="0" collapsed="false">
      <c r="A43" s="2" t="str">
        <f aca="false">IF(Worklogs!A43="","",Worklogs!A43&amp;" "&amp;Worklogs!B43)</f>
        <v>CWL-2920 HT_Website_France-S3-2026 Update</v>
      </c>
      <c r="B43" s="3" t="n">
        <f aca="false">IF(Worklogs!A43="","",INT(ROUND(Worklogs!D43/60,0)/60))</f>
        <v>0</v>
      </c>
      <c r="C43" s="3" t="n">
        <f aca="false">IF(Worklogs!A43="","",MOD(ROUND(Worklogs!D43/60,0),60))</f>
        <v>30</v>
      </c>
      <c r="D43" s="4" t="n">
        <f aca="false">IF(Worklogs!A43="","",DATEVALUE(LEFT(Worklogs!E43,10)))</f>
        <v>46295</v>
      </c>
    </row>
    <row r="44" customFormat="false" ht="15" hidden="false" customHeight="false" outlineLevel="0" collapsed="false">
      <c r="A44" s="2" t="str">
        <f aca="false">IF(Worklogs!A44="","",Worklogs!A44&amp;" "&amp;Worklogs!B44)</f>
        <v>CWL-2956 Ad hoc: September</v>
      </c>
      <c r="B44" s="3" t="n">
        <f aca="false">IF(Worklogs!A44="","",INT(ROUND(Worklogs!D44/60,0)/60))</f>
        <v>1</v>
      </c>
      <c r="C44" s="3" t="n">
        <f aca="false">IF(Worklogs!A44="","",MOD(ROUND(Worklogs!D44/60,0),60))</f>
        <v>0</v>
      </c>
      <c r="D44" s="4" t="n">
        <f aca="false">IF(Worklogs!A44="","",DATEVALUE(LEFT(Worklogs!E44,10)))</f>
        <v>46295</v>
      </c>
    </row>
    <row r="45" customFormat="false" ht="15" hidden="false" customHeight="false" outlineLevel="0" collapsed="false">
      <c r="A45" s="2" t="str">
        <f aca="false">IF(Worklogs!A45="","",Worklogs!A45&amp;" "&amp;Worklogs!B45)</f>
        <v>CWL-2998 PH_S3 Localization HU- go-oct 12</v>
      </c>
      <c r="B45" s="3" t="n">
        <f aca="false">IF(Worklogs!A45="","",INT(ROUND(Worklogs!D45/60,0)/60))</f>
        <v>5</v>
      </c>
      <c r="C45" s="3" t="n">
        <f aca="false">IF(Worklogs!A45="","",MOD(ROUND(Worklogs!D45/60,0),60))</f>
        <v>30</v>
      </c>
      <c r="D45" s="4" t="n">
        <f aca="false">IF(Worklogs!A45="","",DATEVALUE(LEFT(Worklogs!E45,10)))</f>
        <v>46295</v>
      </c>
    </row>
    <row r="46" customFormat="false" ht="15" hidden="false" customHeight="false" outlineLevel="0" collapsed="false">
      <c r="A46" s="2" t="str">
        <f aca="false">IF(Worklogs!A46="","",Worklogs!A46&amp;" "&amp;Worklogs!B46)</f>
        <v/>
      </c>
      <c r="B46" s="3" t="str">
        <f aca="false">IF(Worklogs!A46="","",INT(ROUND(Worklogs!D46/60,0)/60))</f>
        <v/>
      </c>
      <c r="C46" s="3" t="str">
        <f aca="false">IF(Worklogs!A46="","",MOD(ROUND(Worklogs!D46/60,0),60))</f>
        <v/>
      </c>
      <c r="D46" s="4" t="str">
        <f aca="false">IF(Worklogs!A46="","",DATEVALUE(LEFT(Worklogs!E46,10)))</f>
        <v/>
      </c>
    </row>
    <row r="47" customFormat="false" ht="15" hidden="false" customHeight="false" outlineLevel="0" collapsed="false">
      <c r="A47" s="2" t="str">
        <f aca="false">IF(Worklogs!A47="","",Worklogs!A47&amp;" "&amp;Worklogs!B47)</f>
        <v/>
      </c>
      <c r="B47" s="3" t="str">
        <f aca="false">IF(Worklogs!A47="","",INT(ROUND(Worklogs!D47/60,0)/60))</f>
        <v/>
      </c>
      <c r="C47" s="3" t="str">
        <f aca="false">IF(Worklogs!A47="","",MOD(ROUND(Worklogs!D47/60,0),60))</f>
        <v/>
      </c>
      <c r="D47" s="4" t="str">
        <f aca="false">IF(Worklogs!A47="","",DATEVALUE(LEFT(Worklogs!E47,10)))</f>
        <v/>
      </c>
    </row>
    <row r="48" customFormat="false" ht="15" hidden="false" customHeight="false" outlineLevel="0" collapsed="false">
      <c r="A48" s="2" t="str">
        <f aca="false">IF(Worklogs!A48="","",Worklogs!A48&amp;" "&amp;Worklogs!B48)</f>
        <v/>
      </c>
      <c r="B48" s="3" t="str">
        <f aca="false">IF(Worklogs!A48="","",INT(ROUND(Worklogs!D48/60,0)/60))</f>
        <v/>
      </c>
      <c r="C48" s="3" t="str">
        <f aca="false">IF(Worklogs!A48="","",MOD(ROUND(Worklogs!D48/60,0),60))</f>
        <v/>
      </c>
      <c r="D48" s="4" t="str">
        <f aca="false">IF(Worklogs!A48="","",DATEVALUE(LEFT(Worklogs!E48,10)))</f>
        <v/>
      </c>
    </row>
    <row r="49" customFormat="false" ht="15" hidden="false" customHeight="false" outlineLevel="0" collapsed="false">
      <c r="A49" s="2" t="str">
        <f aca="false">IF(Worklogs!A49="","",Worklogs!A49&amp;" "&amp;Worklogs!B49)</f>
        <v/>
      </c>
      <c r="B49" s="3" t="str">
        <f aca="false">IF(Worklogs!A49="","",INT(ROUND(Worklogs!D49/60,0)/60))</f>
        <v/>
      </c>
      <c r="C49" s="3" t="str">
        <f aca="false">IF(Worklogs!A49="","",MOD(ROUND(Worklogs!D49/60,0),60))</f>
        <v/>
      </c>
      <c r="D49" s="4" t="str">
        <f aca="false">IF(Worklogs!A49="","",DATEVALUE(LEFT(Worklogs!E49,10)))</f>
        <v/>
      </c>
    </row>
    <row r="50" customFormat="false" ht="15" hidden="false" customHeight="false" outlineLevel="0" collapsed="false">
      <c r="A50" s="2" t="str">
        <f aca="false">IF(Worklogs!A50="","",Worklogs!A50&amp;" "&amp;Worklogs!B50)</f>
        <v/>
      </c>
      <c r="B50" s="3" t="str">
        <f aca="false">IF(Worklogs!A50="","",INT(ROUND(Worklogs!D50/60,0)/60))</f>
        <v/>
      </c>
      <c r="C50" s="3" t="str">
        <f aca="false">IF(Worklogs!A50="","",MOD(ROUND(Worklogs!D50/60,0),60))</f>
        <v/>
      </c>
      <c r="D50" s="4" t="str">
        <f aca="false">IF(Worklogs!A50="","",DATEVALUE(LEFT(Worklogs!E50,10)))</f>
        <v/>
      </c>
    </row>
    <row r="51" customFormat="false" ht="15" hidden="false" customHeight="false" outlineLevel="0" collapsed="false">
      <c r="A51" s="2" t="str">
        <f aca="false">IF(Worklogs!A51="","",Worklogs!A51&amp;" "&amp;Worklogs!B51)</f>
        <v/>
      </c>
      <c r="B51" s="3" t="str">
        <f aca="false">IF(Worklogs!A51="","",INT(ROUND(Worklogs!D51/60,0)/60))</f>
        <v/>
      </c>
      <c r="C51" s="3" t="str">
        <f aca="false">IF(Worklogs!A51="","",MOD(ROUND(Worklogs!D51/60,0),60))</f>
        <v/>
      </c>
      <c r="D51" s="4" t="str">
        <f aca="false">IF(Worklogs!A51="","",DATEVALUE(LEFT(Worklogs!E51,10)))</f>
        <v/>
      </c>
    </row>
    <row r="52" customFormat="false" ht="15" hidden="false" customHeight="false" outlineLevel="0" collapsed="false">
      <c r="A52" s="2" t="str">
        <f aca="false">IF(Worklogs!A52="","",Worklogs!A52&amp;" "&amp;Worklogs!B52)</f>
        <v/>
      </c>
      <c r="B52" s="3" t="str">
        <f aca="false">IF(Worklogs!A52="","",INT(ROUND(Worklogs!D52/60,0)/60))</f>
        <v/>
      </c>
      <c r="C52" s="3" t="str">
        <f aca="false">IF(Worklogs!A52="","",MOD(ROUND(Worklogs!D52/60,0),60))</f>
        <v/>
      </c>
      <c r="D52" s="4" t="str">
        <f aca="false">IF(Worklogs!A52="","",DATEVALUE(LEFT(Worklogs!E52,10)))</f>
        <v/>
      </c>
    </row>
    <row r="53" customFormat="false" ht="15" hidden="false" customHeight="false" outlineLevel="0" collapsed="false">
      <c r="A53" s="2" t="str">
        <f aca="false">IF(Worklogs!A53="","",Worklogs!A53&amp;" "&amp;Worklogs!B53)</f>
        <v/>
      </c>
      <c r="B53" s="3" t="str">
        <f aca="false">IF(Worklogs!A53="","",INT(ROUND(Worklogs!D53/60,0)/60))</f>
        <v/>
      </c>
      <c r="C53" s="3" t="str">
        <f aca="false">IF(Worklogs!A53="","",MOD(ROUND(Worklogs!D53/60,0),60))</f>
        <v/>
      </c>
      <c r="D53" s="4" t="str">
        <f aca="false">IF(Worklogs!A53="","",DATEVALUE(LEFT(Worklogs!E53,10)))</f>
        <v/>
      </c>
    </row>
    <row r="54" customFormat="false" ht="15" hidden="false" customHeight="false" outlineLevel="0" collapsed="false">
      <c r="A54" s="2" t="str">
        <f aca="false">IF(Worklogs!A54="","",Worklogs!A54&amp;" "&amp;Worklogs!B54)</f>
        <v/>
      </c>
      <c r="B54" s="3" t="str">
        <f aca="false">IF(Worklogs!A54="","",INT(ROUND(Worklogs!D54/60,0)/60))</f>
        <v/>
      </c>
      <c r="C54" s="3" t="str">
        <f aca="false">IF(Worklogs!A54="","",MOD(ROUND(Worklogs!D54/60,0),60))</f>
        <v/>
      </c>
      <c r="D54" s="4" t="str">
        <f aca="false">IF(Worklogs!A54="","",DATEVALUE(LEFT(Worklogs!E54,10)))</f>
        <v/>
      </c>
    </row>
    <row r="55" customFormat="false" ht="15" hidden="false" customHeight="false" outlineLevel="0" collapsed="false">
      <c r="A55" s="2" t="str">
        <f aca="false">IF(Worklogs!A55="","",Worklogs!A55&amp;" "&amp;Worklogs!B55)</f>
        <v/>
      </c>
      <c r="B55" s="3" t="str">
        <f aca="false">IF(Worklogs!A55="","",INT(ROUND(Worklogs!D55/60,0)/60))</f>
        <v/>
      </c>
      <c r="C55" s="3" t="str">
        <f aca="false">IF(Worklogs!A55="","",MOD(ROUND(Worklogs!D55/60,0),60))</f>
        <v/>
      </c>
      <c r="D55" s="4" t="str">
        <f aca="false">IF(Worklogs!A55="","",DATEVALUE(LEFT(Worklogs!E55,10)))</f>
        <v/>
      </c>
    </row>
    <row r="56" customFormat="false" ht="15" hidden="false" customHeight="false" outlineLevel="0" collapsed="false">
      <c r="A56" s="2" t="str">
        <f aca="false">IF(Worklogs!A56="","",Worklogs!A56&amp;" "&amp;Worklogs!B56)</f>
        <v/>
      </c>
      <c r="B56" s="3" t="str">
        <f aca="false">IF(Worklogs!A56="","",INT(ROUND(Worklogs!D56/60,0)/60))</f>
        <v/>
      </c>
      <c r="C56" s="3" t="str">
        <f aca="false">IF(Worklogs!A56="","",MOD(ROUND(Worklogs!D56/60,0),60))</f>
        <v/>
      </c>
      <c r="D56" s="4" t="str">
        <f aca="false">IF(Worklogs!A56="","",DATEVALUE(LEFT(Worklogs!E56,10)))</f>
        <v/>
      </c>
    </row>
    <row r="57" customFormat="false" ht="15" hidden="false" customHeight="false" outlineLevel="0" collapsed="false">
      <c r="A57" s="2" t="str">
        <f aca="false">IF(Worklogs!A57="","",Worklogs!A57&amp;" "&amp;Worklogs!B57)</f>
        <v/>
      </c>
      <c r="B57" s="3" t="str">
        <f aca="false">IF(Worklogs!A57="","",INT(ROUND(Worklogs!D57/60,0)/60))</f>
        <v/>
      </c>
      <c r="C57" s="3" t="str">
        <f aca="false">IF(Worklogs!A57="","",MOD(ROUND(Worklogs!D57/60,0),60))</f>
        <v/>
      </c>
      <c r="D57" s="4" t="str">
        <f aca="false">IF(Worklogs!A57="","",DATEVALUE(LEFT(Worklogs!E57,10)))</f>
        <v/>
      </c>
    </row>
    <row r="58" customFormat="false" ht="15" hidden="false" customHeight="false" outlineLevel="0" collapsed="false">
      <c r="A58" s="2" t="str">
        <f aca="false">IF(Worklogs!A58="","",Worklogs!A58&amp;" "&amp;Worklogs!B58)</f>
        <v/>
      </c>
      <c r="B58" s="3" t="str">
        <f aca="false">IF(Worklogs!A58="","",INT(ROUND(Worklogs!D58/60,0)/60))</f>
        <v/>
      </c>
      <c r="C58" s="3" t="str">
        <f aca="false">IF(Worklogs!A58="","",MOD(ROUND(Worklogs!D58/60,0),60))</f>
        <v/>
      </c>
      <c r="D58" s="4" t="str">
        <f aca="false">IF(Worklogs!A58="","",DATEVALUE(LEFT(Worklogs!E58,10)))</f>
        <v/>
      </c>
    </row>
    <row r="59" customFormat="false" ht="15" hidden="false" customHeight="false" outlineLevel="0" collapsed="false">
      <c r="A59" s="2" t="str">
        <f aca="false">IF(Worklogs!A59="","",Worklogs!A59&amp;" "&amp;Worklogs!B59)</f>
        <v/>
      </c>
      <c r="B59" s="3" t="str">
        <f aca="false">IF(Worklogs!A59="","",INT(ROUND(Worklogs!D59/60,0)/60))</f>
        <v/>
      </c>
      <c r="C59" s="3" t="str">
        <f aca="false">IF(Worklogs!A59="","",MOD(ROUND(Worklogs!D59/60,0),60))</f>
        <v/>
      </c>
      <c r="D59" s="4" t="str">
        <f aca="false">IF(Worklogs!A59="","",DATEVALUE(LEFT(Worklogs!E59,10)))</f>
        <v/>
      </c>
    </row>
    <row r="60" customFormat="false" ht="15" hidden="false" customHeight="false" outlineLevel="0" collapsed="false">
      <c r="A60" s="2" t="str">
        <f aca="false">IF(Worklogs!A60="","",Worklogs!A60&amp;" "&amp;Worklogs!B60)</f>
        <v/>
      </c>
      <c r="B60" s="3" t="str">
        <f aca="false">IF(Worklogs!A60="","",INT(ROUND(Worklogs!D60/60,0)/60))</f>
        <v/>
      </c>
      <c r="C60" s="3" t="str">
        <f aca="false">IF(Worklogs!A60="","",MOD(ROUND(Worklogs!D60/60,0),60))</f>
        <v/>
      </c>
      <c r="D60" s="4" t="str">
        <f aca="false">IF(Worklogs!A60="","",DATEVALUE(LEFT(Worklogs!E60,10)))</f>
        <v/>
      </c>
    </row>
    <row r="61" customFormat="false" ht="15" hidden="false" customHeight="false" outlineLevel="0" collapsed="false">
      <c r="A61" s="2" t="str">
        <f aca="false">IF(Worklogs!A61="","",Worklogs!A61&amp;" "&amp;Worklogs!B61)</f>
        <v/>
      </c>
      <c r="B61" s="3" t="str">
        <f aca="false">IF(Worklogs!A61="","",INT(ROUND(Worklogs!D61/60,0)/60))</f>
        <v/>
      </c>
      <c r="C61" s="3" t="str">
        <f aca="false">IF(Worklogs!A61="","",MOD(ROUND(Worklogs!D61/60,0),60))</f>
        <v/>
      </c>
      <c r="D61" s="4" t="str">
        <f aca="false">IF(Worklogs!A61="","",DATEVALUE(LEFT(Worklogs!E61,10)))</f>
        <v/>
      </c>
    </row>
    <row r="62" customFormat="false" ht="15" hidden="false" customHeight="false" outlineLevel="0" collapsed="false">
      <c r="A62" s="2" t="str">
        <f aca="false">IF(Worklogs!A62="","",Worklogs!A62&amp;" "&amp;Worklogs!B62)</f>
        <v/>
      </c>
      <c r="B62" s="3" t="str">
        <f aca="false">IF(Worklogs!A62="","",INT(ROUND(Worklogs!D62/60,0)/60))</f>
        <v/>
      </c>
      <c r="C62" s="3" t="str">
        <f aca="false">IF(Worklogs!A62="","",MOD(ROUND(Worklogs!D62/60,0),60))</f>
        <v/>
      </c>
      <c r="D62" s="4" t="str">
        <f aca="false">IF(Worklogs!A62="","",DATEVALUE(LEFT(Worklogs!E62,10)))</f>
        <v/>
      </c>
    </row>
    <row r="63" customFormat="false" ht="15" hidden="false" customHeight="false" outlineLevel="0" collapsed="false">
      <c r="A63" s="2" t="str">
        <f aca="false">IF(Worklogs!A63="","",Worklogs!A63&amp;" "&amp;Worklogs!B63)</f>
        <v/>
      </c>
      <c r="B63" s="3" t="str">
        <f aca="false">IF(Worklogs!A63="","",INT(ROUND(Worklogs!D63/60,0)/60))</f>
        <v/>
      </c>
      <c r="C63" s="3" t="str">
        <f aca="false">IF(Worklogs!A63="","",MOD(ROUND(Worklogs!D63/60,0),60))</f>
        <v/>
      </c>
      <c r="D63" s="4" t="str">
        <f aca="false">IF(Worklogs!A63="","",DATEVALUE(LEFT(Worklogs!E63,10)))</f>
        <v/>
      </c>
    </row>
    <row r="64" customFormat="false" ht="15" hidden="false" customHeight="false" outlineLevel="0" collapsed="false">
      <c r="A64" s="2" t="str">
        <f aca="false">IF(Worklogs!A64="","",Worklogs!A64&amp;" "&amp;Worklogs!B64)</f>
        <v/>
      </c>
      <c r="B64" s="3" t="str">
        <f aca="false">IF(Worklogs!A64="","",INT(ROUND(Worklogs!D64/60,0)/60))</f>
        <v/>
      </c>
      <c r="C64" s="3" t="str">
        <f aca="false">IF(Worklogs!A64="","",MOD(ROUND(Worklogs!D64/60,0),60))</f>
        <v/>
      </c>
      <c r="D64" s="4" t="str">
        <f aca="false">IF(Worklogs!A64="","",DATEVALUE(LEFT(Worklogs!E64,10)))</f>
        <v/>
      </c>
    </row>
    <row r="65" customFormat="false" ht="15" hidden="false" customHeight="false" outlineLevel="0" collapsed="false">
      <c r="A65" s="2" t="str">
        <f aca="false">IF(Worklogs!A65="","",Worklogs!A65&amp;" "&amp;Worklogs!B65)</f>
        <v/>
      </c>
      <c r="B65" s="3" t="str">
        <f aca="false">IF(Worklogs!A65="","",INT(ROUND(Worklogs!D65/60,0)/60))</f>
        <v/>
      </c>
      <c r="C65" s="3" t="str">
        <f aca="false">IF(Worklogs!A65="","",MOD(ROUND(Worklogs!D65/60,0),60))</f>
        <v/>
      </c>
      <c r="D65" s="4" t="str">
        <f aca="false">IF(Worklogs!A65="","",DATEVALUE(LEFT(Worklogs!E65,10)))</f>
        <v/>
      </c>
    </row>
    <row r="66" customFormat="false" ht="15" hidden="false" customHeight="false" outlineLevel="0" collapsed="false">
      <c r="A66" s="2" t="str">
        <f aca="false">IF(Worklogs!A66="","",Worklogs!A66&amp;" "&amp;Worklogs!B66)</f>
        <v/>
      </c>
      <c r="B66" s="3" t="str">
        <f aca="false">IF(Worklogs!A66="","",INT(ROUND(Worklogs!D66/60,0)/60))</f>
        <v/>
      </c>
      <c r="C66" s="3" t="str">
        <f aca="false">IF(Worklogs!A66="","",MOD(ROUND(Worklogs!D66/60,0),60))</f>
        <v/>
      </c>
      <c r="D66" s="4" t="str">
        <f aca="false">IF(Worklogs!A66="","",DATEVALUE(LEFT(Worklogs!E66,10)))</f>
        <v/>
      </c>
    </row>
    <row r="67" customFormat="false" ht="15" hidden="false" customHeight="false" outlineLevel="0" collapsed="false">
      <c r="A67" s="2" t="str">
        <f aca="false">IF(Worklogs!A67="","",Worklogs!A67&amp;" "&amp;Worklogs!B67)</f>
        <v/>
      </c>
      <c r="B67" s="3" t="str">
        <f aca="false">IF(Worklogs!A67="","",INT(ROUND(Worklogs!D67/60,0)/60))</f>
        <v/>
      </c>
      <c r="C67" s="3" t="str">
        <f aca="false">IF(Worklogs!A67="","",MOD(ROUND(Worklogs!D67/60,0),60))</f>
        <v/>
      </c>
      <c r="D67" s="4" t="str">
        <f aca="false">IF(Worklogs!A67="","",DATEVALUE(LEFT(Worklogs!E67,10)))</f>
        <v/>
      </c>
    </row>
    <row r="68" customFormat="false" ht="15" hidden="false" customHeight="false" outlineLevel="0" collapsed="false">
      <c r="A68" s="2" t="str">
        <f aca="false">IF(Worklogs!A68="","",Worklogs!A68&amp;" "&amp;Worklogs!B68)</f>
        <v/>
      </c>
      <c r="B68" s="3" t="str">
        <f aca="false">IF(Worklogs!A68="","",INT(ROUND(Worklogs!D68/60,0)/60))</f>
        <v/>
      </c>
      <c r="C68" s="3" t="str">
        <f aca="false">IF(Worklogs!A68="","",MOD(ROUND(Worklogs!D68/60,0),60))</f>
        <v/>
      </c>
      <c r="D68" s="4" t="str">
        <f aca="false">IF(Worklogs!A68="","",DATEVALUE(LEFT(Worklogs!E68,10)))</f>
        <v/>
      </c>
    </row>
    <row r="69" customFormat="false" ht="15" hidden="false" customHeight="false" outlineLevel="0" collapsed="false">
      <c r="A69" s="2" t="str">
        <f aca="false">IF(Worklogs!A69="","",Worklogs!A69&amp;" "&amp;Worklogs!B69)</f>
        <v/>
      </c>
      <c r="B69" s="3" t="str">
        <f aca="false">IF(Worklogs!A69="","",INT(ROUND(Worklogs!D69/60,0)/60))</f>
        <v/>
      </c>
      <c r="C69" s="3" t="str">
        <f aca="false">IF(Worklogs!A69="","",MOD(ROUND(Worklogs!D69/60,0),60))</f>
        <v/>
      </c>
      <c r="D69" s="4" t="str">
        <f aca="false">IF(Worklogs!A69="","",DATEVALUE(LEFT(Worklogs!E69,10)))</f>
        <v/>
      </c>
    </row>
    <row r="70" customFormat="false" ht="15" hidden="false" customHeight="false" outlineLevel="0" collapsed="false">
      <c r="A70" s="2" t="str">
        <f aca="false">IF(Worklogs!A70="","",Worklogs!A70&amp;" "&amp;Worklogs!B70)</f>
        <v/>
      </c>
      <c r="B70" s="3" t="str">
        <f aca="false">IF(Worklogs!A70="","",INT(ROUND(Worklogs!D70/60,0)/60))</f>
        <v/>
      </c>
      <c r="C70" s="3" t="str">
        <f aca="false">IF(Worklogs!A70="","",MOD(ROUND(Worklogs!D70/60,0),60))</f>
        <v/>
      </c>
      <c r="D70" s="4" t="str">
        <f aca="false">IF(Worklogs!A70="","",DATEVALUE(LEFT(Worklogs!E70,10)))</f>
        <v/>
      </c>
    </row>
    <row r="71" customFormat="false" ht="15" hidden="false" customHeight="false" outlineLevel="0" collapsed="false">
      <c r="A71" s="2" t="str">
        <f aca="false">IF(Worklogs!A71="","",Worklogs!A71&amp;" "&amp;Worklogs!B71)</f>
        <v/>
      </c>
      <c r="B71" s="3" t="str">
        <f aca="false">IF(Worklogs!A71="","",INT(ROUND(Worklogs!D71/60,0)/60))</f>
        <v/>
      </c>
      <c r="C71" s="3" t="str">
        <f aca="false">IF(Worklogs!A71="","",MOD(ROUND(Worklogs!D71/60,0),60))</f>
        <v/>
      </c>
      <c r="D71" s="4" t="str">
        <f aca="false">IF(Worklogs!A71="","",DATEVALUE(LEFT(Worklogs!E71,10)))</f>
        <v/>
      </c>
    </row>
    <row r="72" customFormat="false" ht="15" hidden="false" customHeight="false" outlineLevel="0" collapsed="false">
      <c r="A72" s="2" t="str">
        <f aca="false">IF(Worklogs!A72="","",Worklogs!A72&amp;" "&amp;Worklogs!B72)</f>
        <v/>
      </c>
      <c r="B72" s="3" t="str">
        <f aca="false">IF(Worklogs!A72="","",INT(ROUND(Worklogs!D72/60,0)/60))</f>
        <v/>
      </c>
      <c r="C72" s="3" t="str">
        <f aca="false">IF(Worklogs!A72="","",MOD(ROUND(Worklogs!D72/60,0),60))</f>
        <v/>
      </c>
      <c r="D72" s="4" t="str">
        <f aca="false">IF(Worklogs!A72="","",DATEVALUE(LEFT(Worklogs!E72,10)))</f>
        <v/>
      </c>
    </row>
    <row r="73" customFormat="false" ht="15" hidden="false" customHeight="false" outlineLevel="0" collapsed="false">
      <c r="A73" s="2" t="str">
        <f aca="false">IF(Worklogs!A73="","",Worklogs!A73&amp;" "&amp;Worklogs!B73)</f>
        <v/>
      </c>
      <c r="B73" s="3" t="str">
        <f aca="false">IF(Worklogs!A73="","",INT(ROUND(Worklogs!D73/60,0)/60))</f>
        <v/>
      </c>
      <c r="C73" s="3" t="str">
        <f aca="false">IF(Worklogs!A73="","",MOD(ROUND(Worklogs!D73/60,0),60))</f>
        <v/>
      </c>
      <c r="D73" s="4" t="str">
        <f aca="false">IF(Worklogs!A73="","",DATEVALUE(LEFT(Worklogs!E73,10)))</f>
        <v/>
      </c>
    </row>
    <row r="74" customFormat="false" ht="15" hidden="false" customHeight="false" outlineLevel="0" collapsed="false">
      <c r="A74" s="2" t="str">
        <f aca="false">IF(Worklogs!A74="","",Worklogs!A74&amp;" "&amp;Worklogs!B74)</f>
        <v/>
      </c>
      <c r="B74" s="3" t="str">
        <f aca="false">IF(Worklogs!A74="","",INT(ROUND(Worklogs!D74/60,0)/60))</f>
        <v/>
      </c>
      <c r="C74" s="3" t="str">
        <f aca="false">IF(Worklogs!A74="","",MOD(ROUND(Worklogs!D74/60,0),60))</f>
        <v/>
      </c>
      <c r="D74" s="4" t="str">
        <f aca="false">IF(Worklogs!A74="","",DATEVALUE(LEFT(Worklogs!E74,10)))</f>
        <v/>
      </c>
    </row>
    <row r="75" customFormat="false" ht="15" hidden="false" customHeight="false" outlineLevel="0" collapsed="false">
      <c r="A75" s="2" t="str">
        <f aca="false">IF(Worklogs!A75="","",Worklogs!A75&amp;" "&amp;Worklogs!B75)</f>
        <v/>
      </c>
      <c r="B75" s="3" t="str">
        <f aca="false">IF(Worklogs!A75="","",INT(ROUND(Worklogs!D75/60,0)/60))</f>
        <v/>
      </c>
      <c r="C75" s="3" t="str">
        <f aca="false">IF(Worklogs!A75="","",MOD(ROUND(Worklogs!D75/60,0),60))</f>
        <v/>
      </c>
      <c r="D75" s="4" t="str">
        <f aca="false">IF(Worklogs!A75="","",DATEVALUE(LEFT(Worklogs!E75,10)))</f>
        <v/>
      </c>
    </row>
    <row r="76" customFormat="false" ht="15" hidden="false" customHeight="false" outlineLevel="0" collapsed="false">
      <c r="A76" s="2" t="str">
        <f aca="false">IF(Worklogs!A76="","",Worklogs!A76&amp;" "&amp;Worklogs!B76)</f>
        <v/>
      </c>
      <c r="B76" s="3" t="str">
        <f aca="false">IF(Worklogs!A76="","",INT(ROUND(Worklogs!D76/60,0)/60))</f>
        <v/>
      </c>
      <c r="C76" s="3" t="str">
        <f aca="false">IF(Worklogs!A76="","",MOD(ROUND(Worklogs!D76/60,0),60))</f>
        <v/>
      </c>
      <c r="D76" s="4" t="str">
        <f aca="false">IF(Worklogs!A76="","",DATEVALUE(LEFT(Worklogs!E76,10)))</f>
        <v/>
      </c>
    </row>
    <row r="77" customFormat="false" ht="15" hidden="false" customHeight="false" outlineLevel="0" collapsed="false">
      <c r="A77" s="2" t="str">
        <f aca="false">IF(Worklogs!A77="","",Worklogs!A77&amp;" "&amp;Worklogs!B77)</f>
        <v/>
      </c>
      <c r="B77" s="3" t="str">
        <f aca="false">IF(Worklogs!A77="","",INT(ROUND(Worklogs!D77/60,0)/60))</f>
        <v/>
      </c>
      <c r="C77" s="3" t="str">
        <f aca="false">IF(Worklogs!A77="","",MOD(ROUND(Worklogs!D77/60,0),60))</f>
        <v/>
      </c>
      <c r="D77" s="4" t="str">
        <f aca="false">IF(Worklogs!A77="","",DATEVALUE(LEFT(Worklogs!E77,10)))</f>
        <v/>
      </c>
    </row>
    <row r="78" customFormat="false" ht="15" hidden="false" customHeight="false" outlineLevel="0" collapsed="false">
      <c r="A78" s="2" t="str">
        <f aca="false">IF(Worklogs!A78="","",Worklogs!A78&amp;" "&amp;Worklogs!B78)</f>
        <v/>
      </c>
      <c r="B78" s="3" t="str">
        <f aca="false">IF(Worklogs!A78="","",INT(ROUND(Worklogs!D78/60,0)/60))</f>
        <v/>
      </c>
      <c r="C78" s="3" t="str">
        <f aca="false">IF(Worklogs!A78="","",MOD(ROUND(Worklogs!D78/60,0),60))</f>
        <v/>
      </c>
      <c r="D78" s="4" t="str">
        <f aca="false">IF(Worklogs!A78="","",DATEVALUE(LEFT(Worklogs!E78,10)))</f>
        <v/>
      </c>
    </row>
    <row r="79" customFormat="false" ht="15" hidden="false" customHeight="false" outlineLevel="0" collapsed="false">
      <c r="A79" s="2" t="str">
        <f aca="false">IF(Worklogs!A79="","",Worklogs!A79&amp;" "&amp;Worklogs!B79)</f>
        <v/>
      </c>
      <c r="B79" s="3" t="str">
        <f aca="false">IF(Worklogs!A79="","",INT(ROUND(Worklogs!D79/60,0)/60))</f>
        <v/>
      </c>
      <c r="C79" s="3" t="str">
        <f aca="false">IF(Worklogs!A79="","",MOD(ROUND(Worklogs!D79/60,0),60))</f>
        <v/>
      </c>
      <c r="D79" s="4" t="str">
        <f aca="false">IF(Worklogs!A79="","",DATEVALUE(LEFT(Worklogs!E79,10)))</f>
        <v/>
      </c>
    </row>
    <row r="80" customFormat="false" ht="15" hidden="false" customHeight="false" outlineLevel="0" collapsed="false">
      <c r="A80" s="2" t="str">
        <f aca="false">IF(Worklogs!A80="","",Worklogs!A80&amp;" "&amp;Worklogs!B80)</f>
        <v/>
      </c>
      <c r="B80" s="3" t="str">
        <f aca="false">IF(Worklogs!A80="","",INT(ROUND(Worklogs!D80/60,0)/60))</f>
        <v/>
      </c>
      <c r="C80" s="3" t="str">
        <f aca="false">IF(Worklogs!A80="","",MOD(ROUND(Worklogs!D80/60,0),60))</f>
        <v/>
      </c>
      <c r="D80" s="4" t="str">
        <f aca="false">IF(Worklogs!A80="","",DATEVALUE(LEFT(Worklogs!E80,10)))</f>
        <v/>
      </c>
    </row>
    <row r="81" customFormat="false" ht="15" hidden="false" customHeight="false" outlineLevel="0" collapsed="false">
      <c r="A81" s="2" t="str">
        <f aca="false">IF(Worklogs!A81="","",Worklogs!A81&amp;" "&amp;Worklogs!B81)</f>
        <v/>
      </c>
      <c r="B81" s="3" t="str">
        <f aca="false">IF(Worklogs!A81="","",INT(ROUND(Worklogs!D81/60,0)/60))</f>
        <v/>
      </c>
      <c r="C81" s="3" t="str">
        <f aca="false">IF(Worklogs!A81="","",MOD(ROUND(Worklogs!D81/60,0),60))</f>
        <v/>
      </c>
      <c r="D81" s="4" t="str">
        <f aca="false">IF(Worklogs!A81="","",DATEVALUE(LEFT(Worklogs!E81,10)))</f>
        <v/>
      </c>
    </row>
    <row r="82" customFormat="false" ht="15" hidden="false" customHeight="false" outlineLevel="0" collapsed="false">
      <c r="A82" s="2" t="str">
        <f aca="false">IF(Worklogs!A82="","",Worklogs!A82&amp;" "&amp;Worklogs!B82)</f>
        <v/>
      </c>
      <c r="B82" s="3" t="str">
        <f aca="false">IF(Worklogs!A82="","",INT(ROUND(Worklogs!D82/60,0)/60))</f>
        <v/>
      </c>
      <c r="C82" s="3" t="str">
        <f aca="false">IF(Worklogs!A82="","",MOD(ROUND(Worklogs!D82/60,0),60))</f>
        <v/>
      </c>
      <c r="D82" s="4" t="str">
        <f aca="false">IF(Worklogs!A82="","",DATEVALUE(LEFT(Worklogs!E82,10)))</f>
        <v/>
      </c>
    </row>
    <row r="83" customFormat="false" ht="15" hidden="false" customHeight="false" outlineLevel="0" collapsed="false">
      <c r="A83" s="2" t="str">
        <f aca="false">IF(Worklogs!A83="","",Worklogs!A83&amp;" "&amp;Worklogs!B83)</f>
        <v/>
      </c>
      <c r="B83" s="3" t="str">
        <f aca="false">IF(Worklogs!A83="","",INT(ROUND(Worklogs!D83/60,0)/60))</f>
        <v/>
      </c>
      <c r="C83" s="3" t="str">
        <f aca="false">IF(Worklogs!A83="","",MOD(ROUND(Worklogs!D83/60,0),60))</f>
        <v/>
      </c>
      <c r="D83" s="4" t="str">
        <f aca="false">IF(Worklogs!A83="","",DATEVALUE(LEFT(Worklogs!E83,10)))</f>
        <v/>
      </c>
    </row>
    <row r="84" customFormat="false" ht="15" hidden="false" customHeight="false" outlineLevel="0" collapsed="false">
      <c r="A84" s="2" t="str">
        <f aca="false">IF(Worklogs!A84="","",Worklogs!A84&amp;" "&amp;Worklogs!B84)</f>
        <v/>
      </c>
      <c r="B84" s="3" t="str">
        <f aca="false">IF(Worklogs!A84="","",INT(ROUND(Worklogs!D84/60,0)/60))</f>
        <v/>
      </c>
      <c r="C84" s="3" t="str">
        <f aca="false">IF(Worklogs!A84="","",MOD(ROUND(Worklogs!D84/60,0),60))</f>
        <v/>
      </c>
      <c r="D84" s="4" t="str">
        <f aca="false">IF(Worklogs!A84="","",DATEVALUE(LEFT(Worklogs!E84,10)))</f>
        <v/>
      </c>
    </row>
    <row r="85" customFormat="false" ht="15" hidden="false" customHeight="false" outlineLevel="0" collapsed="false">
      <c r="A85" s="2" t="str">
        <f aca="false">IF(Worklogs!A85="","",Worklogs!A85&amp;" "&amp;Worklogs!B85)</f>
        <v/>
      </c>
      <c r="B85" s="3" t="str">
        <f aca="false">IF(Worklogs!A85="","",INT(ROUND(Worklogs!D85/60,0)/60))</f>
        <v/>
      </c>
      <c r="C85" s="3" t="str">
        <f aca="false">IF(Worklogs!A85="","",MOD(ROUND(Worklogs!D85/60,0),60))</f>
        <v/>
      </c>
      <c r="D85" s="4" t="str">
        <f aca="false">IF(Worklogs!A85="","",DATEVALUE(LEFT(Worklogs!E85,10)))</f>
        <v/>
      </c>
    </row>
    <row r="86" customFormat="false" ht="15" hidden="false" customHeight="false" outlineLevel="0" collapsed="false">
      <c r="A86" s="2" t="str">
        <f aca="false">IF(Worklogs!A86="","",Worklogs!A86&amp;" "&amp;Worklogs!B86)</f>
        <v/>
      </c>
      <c r="B86" s="3" t="str">
        <f aca="false">IF(Worklogs!A86="","",INT(ROUND(Worklogs!D86/60,0)/60))</f>
        <v/>
      </c>
      <c r="C86" s="3" t="str">
        <f aca="false">IF(Worklogs!A86="","",MOD(ROUND(Worklogs!D86/60,0),60))</f>
        <v/>
      </c>
      <c r="D86" s="4" t="str">
        <f aca="false">IF(Worklogs!A86="","",DATEVALUE(LEFT(Worklogs!E86,10)))</f>
        <v/>
      </c>
    </row>
    <row r="87" customFormat="false" ht="15" hidden="false" customHeight="false" outlineLevel="0" collapsed="false">
      <c r="A87" s="2" t="str">
        <f aca="false">IF(Worklogs!A87="","",Worklogs!A87&amp;" "&amp;Worklogs!B87)</f>
        <v/>
      </c>
      <c r="B87" s="3" t="str">
        <f aca="false">IF(Worklogs!A87="","",INT(ROUND(Worklogs!D87/60,0)/60))</f>
        <v/>
      </c>
      <c r="C87" s="3" t="str">
        <f aca="false">IF(Worklogs!A87="","",MOD(ROUND(Worklogs!D87/60,0),60))</f>
        <v/>
      </c>
      <c r="D87" s="4" t="str">
        <f aca="false">IF(Worklogs!A87="","",DATEVALUE(LEFT(Worklogs!E87,10)))</f>
        <v/>
      </c>
    </row>
    <row r="88" customFormat="false" ht="15" hidden="false" customHeight="false" outlineLevel="0" collapsed="false">
      <c r="A88" s="2" t="str">
        <f aca="false">IF(Worklogs!A88="","",Worklogs!A88&amp;" "&amp;Worklogs!B88)</f>
        <v/>
      </c>
      <c r="B88" s="3" t="str">
        <f aca="false">IF(Worklogs!A88="","",INT(ROUND(Worklogs!D88/60,0)/60))</f>
        <v/>
      </c>
      <c r="C88" s="3" t="str">
        <f aca="false">IF(Worklogs!A88="","",MOD(ROUND(Worklogs!D88/60,0),60))</f>
        <v/>
      </c>
      <c r="D88" s="4" t="str">
        <f aca="false">IF(Worklogs!A88="","",DATEVALUE(LEFT(Worklogs!E88,10)))</f>
        <v/>
      </c>
    </row>
    <row r="89" customFormat="false" ht="15" hidden="false" customHeight="false" outlineLevel="0" collapsed="false">
      <c r="A89" s="2" t="str">
        <f aca="false">IF(Worklogs!A89="","",Worklogs!A89&amp;" "&amp;Worklogs!B89)</f>
        <v/>
      </c>
      <c r="B89" s="3" t="str">
        <f aca="false">IF(Worklogs!A89="","",INT(ROUND(Worklogs!D89/60,0)/60))</f>
        <v/>
      </c>
      <c r="C89" s="3" t="str">
        <f aca="false">IF(Worklogs!A89="","",MOD(ROUND(Worklogs!D89/60,0),60))</f>
        <v/>
      </c>
      <c r="D89" s="4" t="str">
        <f aca="false">IF(Worklogs!A89="","",DATEVALUE(LEFT(Worklogs!E89,10)))</f>
        <v/>
      </c>
    </row>
    <row r="90" customFormat="false" ht="15" hidden="false" customHeight="false" outlineLevel="0" collapsed="false">
      <c r="A90" s="2" t="str">
        <f aca="false">IF(Worklogs!A90="","",Worklogs!A90&amp;" "&amp;Worklogs!B90)</f>
        <v/>
      </c>
      <c r="B90" s="3" t="str">
        <f aca="false">IF(Worklogs!A90="","",INT(ROUND(Worklogs!D90/60,0)/60))</f>
        <v/>
      </c>
      <c r="C90" s="3" t="str">
        <f aca="false">IF(Worklogs!A90="","",MOD(ROUND(Worklogs!D90/60,0),60))</f>
        <v/>
      </c>
      <c r="D90" s="4" t="str">
        <f aca="false">IF(Worklogs!A90="","",DATEVALUE(LEFT(Worklogs!E90,10)))</f>
        <v/>
      </c>
    </row>
    <row r="91" customFormat="false" ht="15" hidden="false" customHeight="false" outlineLevel="0" collapsed="false">
      <c r="A91" s="2" t="str">
        <f aca="false">IF(Worklogs!A91="","",Worklogs!A91&amp;" "&amp;Worklogs!B91)</f>
        <v/>
      </c>
      <c r="B91" s="3" t="str">
        <f aca="false">IF(Worklogs!A91="","",INT(ROUND(Worklogs!D91/60,0)/60))</f>
        <v/>
      </c>
      <c r="C91" s="3" t="str">
        <f aca="false">IF(Worklogs!A91="","",MOD(ROUND(Worklogs!D91/60,0),60))</f>
        <v/>
      </c>
      <c r="D91" s="4" t="str">
        <f aca="false">IF(Worklogs!A91="","",DATEVALUE(LEFT(Worklogs!E91,10)))</f>
        <v/>
      </c>
    </row>
    <row r="92" customFormat="false" ht="15" hidden="false" customHeight="false" outlineLevel="0" collapsed="false">
      <c r="A92" s="2" t="str">
        <f aca="false">IF(Worklogs!A92="","",Worklogs!A92&amp;" "&amp;Worklogs!B92)</f>
        <v/>
      </c>
      <c r="B92" s="3" t="str">
        <f aca="false">IF(Worklogs!A92="","",INT(ROUND(Worklogs!D92/60,0)/60))</f>
        <v/>
      </c>
      <c r="C92" s="3" t="str">
        <f aca="false">IF(Worklogs!A92="","",MOD(ROUND(Worklogs!D92/60,0),60))</f>
        <v/>
      </c>
      <c r="D92" s="4" t="str">
        <f aca="false">IF(Worklogs!A92="","",DATEVALUE(LEFT(Worklogs!E92,10)))</f>
        <v/>
      </c>
    </row>
    <row r="93" customFormat="false" ht="15" hidden="false" customHeight="false" outlineLevel="0" collapsed="false">
      <c r="A93" s="2" t="str">
        <f aca="false">IF(Worklogs!A93="","",Worklogs!A93&amp;" "&amp;Worklogs!B93)</f>
        <v/>
      </c>
      <c r="B93" s="3" t="str">
        <f aca="false">IF(Worklogs!A93="","",INT(ROUND(Worklogs!D93/60,0)/60))</f>
        <v/>
      </c>
      <c r="C93" s="3" t="str">
        <f aca="false">IF(Worklogs!A93="","",MOD(ROUND(Worklogs!D93/60,0),60))</f>
        <v/>
      </c>
      <c r="D93" s="4" t="str">
        <f aca="false">IF(Worklogs!A93="","",DATEVALUE(LEFT(Worklogs!E93,10)))</f>
        <v/>
      </c>
    </row>
    <row r="94" customFormat="false" ht="15" hidden="false" customHeight="false" outlineLevel="0" collapsed="false">
      <c r="A94" s="2" t="str">
        <f aca="false">IF(Worklogs!A94="","",Worklogs!A94&amp;" "&amp;Worklogs!B94)</f>
        <v/>
      </c>
      <c r="B94" s="3" t="str">
        <f aca="false">IF(Worklogs!A94="","",INT(ROUND(Worklogs!D94/60,0)/60))</f>
        <v/>
      </c>
      <c r="C94" s="3" t="str">
        <f aca="false">IF(Worklogs!A94="","",MOD(ROUND(Worklogs!D94/60,0),60))</f>
        <v/>
      </c>
      <c r="D94" s="4" t="str">
        <f aca="false">IF(Worklogs!A94="","",DATEVALUE(LEFT(Worklogs!E94,10)))</f>
        <v/>
      </c>
    </row>
    <row r="95" customFormat="false" ht="15" hidden="false" customHeight="false" outlineLevel="0" collapsed="false">
      <c r="A95" s="2" t="str">
        <f aca="false">IF(Worklogs!A95="","",Worklogs!A95&amp;" "&amp;Worklogs!B95)</f>
        <v/>
      </c>
      <c r="B95" s="3" t="str">
        <f aca="false">IF(Worklogs!A95="","",INT(ROUND(Worklogs!D95/60,0)/60))</f>
        <v/>
      </c>
      <c r="C95" s="3" t="str">
        <f aca="false">IF(Worklogs!A95="","",MOD(ROUND(Worklogs!D95/60,0),60))</f>
        <v/>
      </c>
      <c r="D95" s="4" t="str">
        <f aca="false">IF(Worklogs!A95="","",DATEVALUE(LEFT(Worklogs!E95,10)))</f>
        <v/>
      </c>
    </row>
    <row r="96" customFormat="false" ht="15" hidden="false" customHeight="false" outlineLevel="0" collapsed="false">
      <c r="A96" s="2" t="str">
        <f aca="false">IF(Worklogs!A96="","",Worklogs!A96&amp;" "&amp;Worklogs!B96)</f>
        <v/>
      </c>
      <c r="B96" s="3" t="str">
        <f aca="false">IF(Worklogs!A96="","",INT(ROUND(Worklogs!D96/60,0)/60))</f>
        <v/>
      </c>
      <c r="C96" s="3" t="str">
        <f aca="false">IF(Worklogs!A96="","",MOD(ROUND(Worklogs!D96/60,0),60))</f>
        <v/>
      </c>
      <c r="D96" s="4" t="str">
        <f aca="false">IF(Worklogs!A96="","",DATEVALUE(LEFT(Worklogs!E96,10)))</f>
        <v/>
      </c>
    </row>
    <row r="97" customFormat="false" ht="15" hidden="false" customHeight="false" outlineLevel="0" collapsed="false">
      <c r="A97" s="2" t="str">
        <f aca="false">IF(Worklogs!A97="","",Worklogs!A97&amp;" "&amp;Worklogs!B97)</f>
        <v/>
      </c>
      <c r="B97" s="3" t="str">
        <f aca="false">IF(Worklogs!A97="","",INT(ROUND(Worklogs!D97/60,0)/60))</f>
        <v/>
      </c>
      <c r="C97" s="3" t="str">
        <f aca="false">IF(Worklogs!A97="","",MOD(ROUND(Worklogs!D97/60,0),60))</f>
        <v/>
      </c>
      <c r="D97" s="4" t="str">
        <f aca="false">IF(Worklogs!A97="","",DATEVALUE(LEFT(Worklogs!E97,10)))</f>
        <v/>
      </c>
    </row>
    <row r="98" customFormat="false" ht="15" hidden="false" customHeight="false" outlineLevel="0" collapsed="false">
      <c r="A98" s="2" t="str">
        <f aca="false">IF(Worklogs!A98="","",Worklogs!A98&amp;" "&amp;Worklogs!B98)</f>
        <v/>
      </c>
      <c r="B98" s="3" t="str">
        <f aca="false">IF(Worklogs!A98="","",INT(ROUND(Worklogs!D98/60,0)/60))</f>
        <v/>
      </c>
      <c r="C98" s="3" t="str">
        <f aca="false">IF(Worklogs!A98="","",MOD(ROUND(Worklogs!D98/60,0),60))</f>
        <v/>
      </c>
      <c r="D98" s="4" t="str">
        <f aca="false">IF(Worklogs!A98="","",DATEVALUE(LEFT(Worklogs!E98,10)))</f>
        <v/>
      </c>
    </row>
    <row r="99" customFormat="false" ht="15" hidden="false" customHeight="false" outlineLevel="0" collapsed="false">
      <c r="A99" s="2" t="str">
        <f aca="false">IF(Worklogs!A99="","",Worklogs!A99&amp;" "&amp;Worklogs!B99)</f>
        <v/>
      </c>
      <c r="B99" s="3" t="str">
        <f aca="false">IF(Worklogs!A99="","",INT(ROUND(Worklogs!D99/60,0)/60))</f>
        <v/>
      </c>
      <c r="C99" s="3" t="str">
        <f aca="false">IF(Worklogs!A99="","",MOD(ROUND(Worklogs!D99/60,0),60))</f>
        <v/>
      </c>
      <c r="D99" s="4" t="str">
        <f aca="false">IF(Worklogs!A99="","",DATEVALUE(LEFT(Worklogs!E99,10)))</f>
        <v/>
      </c>
    </row>
    <row r="100" customFormat="false" ht="15" hidden="false" customHeight="false" outlineLevel="0" collapsed="false">
      <c r="A100" s="2" t="str">
        <f aca="false">IF(Worklogs!A100="","",Worklogs!A100&amp;" "&amp;Worklogs!B100)</f>
        <v/>
      </c>
      <c r="B100" s="3" t="str">
        <f aca="false">IF(Worklogs!A100="","",INT(ROUND(Worklogs!D100/60,0)/60))</f>
        <v/>
      </c>
      <c r="C100" s="3" t="str">
        <f aca="false">IF(Worklogs!A100="","",MOD(ROUND(Worklogs!D100/60,0),60))</f>
        <v/>
      </c>
      <c r="D100" s="4" t="str">
        <f aca="false">IF(Worklogs!A100="","",DATEVALUE(LEFT(Worklogs!E100,10)))</f>
        <v/>
      </c>
    </row>
    <row r="101" customFormat="false" ht="15" hidden="false" customHeight="false" outlineLevel="0" collapsed="false">
      <c r="A101" s="2" t="str">
        <f aca="false">IF(Worklogs!A101="","",Worklogs!A101&amp;" "&amp;Worklogs!B101)</f>
        <v/>
      </c>
      <c r="B101" s="3" t="str">
        <f aca="false">IF(Worklogs!A101="","",INT(ROUND(Worklogs!D101/60,0)/60))</f>
        <v/>
      </c>
      <c r="C101" s="3" t="str">
        <f aca="false">IF(Worklogs!A101="","",MOD(ROUND(Worklogs!D101/60,0),60))</f>
        <v/>
      </c>
      <c r="D101" s="4" t="str">
        <f aca="false">IF(Worklogs!A101="","",DATEVALUE(LEFT(Worklogs!E101,10)))</f>
        <v/>
      </c>
    </row>
    <row r="102" customFormat="false" ht="15" hidden="false" customHeight="false" outlineLevel="0" collapsed="false">
      <c r="A102" s="2" t="str">
        <f aca="false">IF(Worklogs!A102="","",Worklogs!A102&amp;" "&amp;Worklogs!B102)</f>
        <v/>
      </c>
      <c r="B102" s="3" t="str">
        <f aca="false">IF(Worklogs!A102="","",INT(ROUND(Worklogs!D102/60,0)/60))</f>
        <v/>
      </c>
      <c r="C102" s="3" t="str">
        <f aca="false">IF(Worklogs!A102="","",MOD(ROUND(Worklogs!D102/60,0),60))</f>
        <v/>
      </c>
      <c r="D102" s="4" t="str">
        <f aca="false">IF(Worklogs!A102="","",DATEVALUE(LEFT(Worklogs!E102,10)))</f>
        <v/>
      </c>
    </row>
    <row r="103" customFormat="false" ht="15" hidden="false" customHeight="false" outlineLevel="0" collapsed="false">
      <c r="A103" s="2" t="str">
        <f aca="false">IF(Worklogs!A103="","",Worklogs!A103&amp;" "&amp;Worklogs!B103)</f>
        <v/>
      </c>
      <c r="B103" s="3" t="str">
        <f aca="false">IF(Worklogs!A103="","",INT(ROUND(Worklogs!D103/60,0)/60))</f>
        <v/>
      </c>
      <c r="C103" s="3" t="str">
        <f aca="false">IF(Worklogs!A103="","",MOD(ROUND(Worklogs!D103/60,0),60))</f>
        <v/>
      </c>
      <c r="D103" s="4" t="str">
        <f aca="false">IF(Worklogs!A103="","",DATEVALUE(LEFT(Worklogs!E103,10)))</f>
        <v/>
      </c>
    </row>
    <row r="104" customFormat="false" ht="15" hidden="false" customHeight="false" outlineLevel="0" collapsed="false">
      <c r="A104" s="2" t="str">
        <f aca="false">IF(Worklogs!A104="","",Worklogs!A104&amp;" "&amp;Worklogs!B104)</f>
        <v/>
      </c>
      <c r="B104" s="3" t="str">
        <f aca="false">IF(Worklogs!A104="","",INT(ROUND(Worklogs!D104/60,0)/60))</f>
        <v/>
      </c>
      <c r="C104" s="3" t="str">
        <f aca="false">IF(Worklogs!A104="","",MOD(ROUND(Worklogs!D104/60,0),60))</f>
        <v/>
      </c>
      <c r="D104" s="4" t="str">
        <f aca="false">IF(Worklogs!A104="","",DATEVALUE(LEFT(Worklogs!E104,10)))</f>
        <v/>
      </c>
    </row>
    <row r="105" customFormat="false" ht="15" hidden="false" customHeight="false" outlineLevel="0" collapsed="false">
      <c r="A105" s="2" t="str">
        <f aca="false">IF(Worklogs!A105="","",Worklogs!A105&amp;" "&amp;Worklogs!B105)</f>
        <v/>
      </c>
      <c r="B105" s="3" t="str">
        <f aca="false">IF(Worklogs!A105="","",INT(ROUND(Worklogs!D105/60,0)/60))</f>
        <v/>
      </c>
      <c r="C105" s="3" t="str">
        <f aca="false">IF(Worklogs!A105="","",MOD(ROUND(Worklogs!D105/60,0),60))</f>
        <v/>
      </c>
      <c r="D105" s="4" t="str">
        <f aca="false">IF(Worklogs!A105="","",DATEVALUE(LEFT(Worklogs!E105,10)))</f>
        <v/>
      </c>
    </row>
    <row r="106" customFormat="false" ht="15" hidden="false" customHeight="false" outlineLevel="0" collapsed="false">
      <c r="A106" s="2" t="str">
        <f aca="false">IF(Worklogs!A106="","",Worklogs!A106&amp;" "&amp;Worklogs!B106)</f>
        <v/>
      </c>
      <c r="B106" s="3" t="str">
        <f aca="false">IF(Worklogs!A106="","",INT(ROUND(Worklogs!D106/60,0)/60))</f>
        <v/>
      </c>
      <c r="C106" s="3" t="str">
        <f aca="false">IF(Worklogs!A106="","",MOD(ROUND(Worklogs!D106/60,0),60))</f>
        <v/>
      </c>
      <c r="D106" s="4" t="str">
        <f aca="false">IF(Worklogs!A106="","",DATEVALUE(LEFT(Worklogs!E106,10)))</f>
        <v/>
      </c>
    </row>
    <row r="107" customFormat="false" ht="15" hidden="false" customHeight="false" outlineLevel="0" collapsed="false">
      <c r="A107" s="2" t="str">
        <f aca="false">IF(Worklogs!A107="","",Worklogs!A107&amp;" "&amp;Worklogs!B107)</f>
        <v/>
      </c>
      <c r="B107" s="3" t="str">
        <f aca="false">IF(Worklogs!A107="","",INT(ROUND(Worklogs!D107/60,0)/60))</f>
        <v/>
      </c>
      <c r="C107" s="3" t="str">
        <f aca="false">IF(Worklogs!A107="","",MOD(ROUND(Worklogs!D107/60,0),60))</f>
        <v/>
      </c>
      <c r="D107" s="4" t="str">
        <f aca="false">IF(Worklogs!A107="","",DATEVALUE(LEFT(Worklogs!E107,10)))</f>
        <v/>
      </c>
    </row>
    <row r="108" customFormat="false" ht="15" hidden="false" customHeight="false" outlineLevel="0" collapsed="false">
      <c r="A108" s="2" t="str">
        <f aca="false">IF(Worklogs!A108="","",Worklogs!A108&amp;" "&amp;Worklogs!B108)</f>
        <v/>
      </c>
      <c r="B108" s="3" t="str">
        <f aca="false">IF(Worklogs!A108="","",INT(ROUND(Worklogs!D108/60,0)/60))</f>
        <v/>
      </c>
      <c r="C108" s="3" t="str">
        <f aca="false">IF(Worklogs!A108="","",MOD(ROUND(Worklogs!D108/60,0),60))</f>
        <v/>
      </c>
      <c r="D108" s="4" t="str">
        <f aca="false">IF(Worklogs!A108="","",DATEVALUE(LEFT(Worklogs!E108,10)))</f>
        <v/>
      </c>
    </row>
    <row r="109" customFormat="false" ht="15" hidden="false" customHeight="false" outlineLevel="0" collapsed="false">
      <c r="A109" s="2" t="str">
        <f aca="false">IF(Worklogs!A109="","",Worklogs!A109&amp;" "&amp;Worklogs!B109)</f>
        <v/>
      </c>
      <c r="B109" s="3" t="str">
        <f aca="false">IF(Worklogs!A109="","",INT(ROUND(Worklogs!D109/60,0)/60))</f>
        <v/>
      </c>
      <c r="C109" s="3" t="str">
        <f aca="false">IF(Worklogs!A109="","",MOD(ROUND(Worklogs!D109/60,0),60))</f>
        <v/>
      </c>
      <c r="D109" s="4" t="str">
        <f aca="false">IF(Worklogs!A109="","",DATEVALUE(LEFT(Worklogs!E109,10)))</f>
        <v/>
      </c>
    </row>
    <row r="110" customFormat="false" ht="15" hidden="false" customHeight="false" outlineLevel="0" collapsed="false">
      <c r="A110" s="2" t="str">
        <f aca="false">IF(Worklogs!A110="","",Worklogs!A110&amp;" "&amp;Worklogs!B110)</f>
        <v/>
      </c>
      <c r="B110" s="3" t="str">
        <f aca="false">IF(Worklogs!A110="","",INT(ROUND(Worklogs!D110/60,0)/60))</f>
        <v/>
      </c>
      <c r="C110" s="3" t="str">
        <f aca="false">IF(Worklogs!A110="","",MOD(ROUND(Worklogs!D110/60,0),60))</f>
        <v/>
      </c>
      <c r="D110" s="4" t="str">
        <f aca="false">IF(Worklogs!A110="","",DATEVALUE(LEFT(Worklogs!E110,10)))</f>
        <v/>
      </c>
    </row>
    <row r="111" customFormat="false" ht="15" hidden="false" customHeight="false" outlineLevel="0" collapsed="false">
      <c r="A111" s="2" t="str">
        <f aca="false">IF(Worklogs!A111="","",Worklogs!A111&amp;" "&amp;Worklogs!B111)</f>
        <v/>
      </c>
      <c r="B111" s="3" t="str">
        <f aca="false">IF(Worklogs!A111="","",INT(ROUND(Worklogs!D111/60,0)/60))</f>
        <v/>
      </c>
      <c r="C111" s="3" t="str">
        <f aca="false">IF(Worklogs!A111="","",MOD(ROUND(Worklogs!D111/60,0),60))</f>
        <v/>
      </c>
      <c r="D111" s="4" t="str">
        <f aca="false">IF(Worklogs!A111="","",DATEVALUE(LEFT(Worklogs!E111,10)))</f>
        <v/>
      </c>
    </row>
    <row r="112" customFormat="false" ht="15" hidden="false" customHeight="false" outlineLevel="0" collapsed="false">
      <c r="A112" s="2" t="str">
        <f aca="false">IF(Worklogs!A112="","",Worklogs!A112&amp;" "&amp;Worklogs!B112)</f>
        <v/>
      </c>
      <c r="B112" s="3" t="str">
        <f aca="false">IF(Worklogs!A112="","",INT(ROUND(Worklogs!D112/60,0)/60))</f>
        <v/>
      </c>
      <c r="C112" s="3" t="str">
        <f aca="false">IF(Worklogs!A112="","",MOD(ROUND(Worklogs!D112/60,0),60))</f>
        <v/>
      </c>
      <c r="D112" s="4" t="str">
        <f aca="false">IF(Worklogs!A112="","",DATEVALUE(LEFT(Worklogs!E112,10)))</f>
        <v/>
      </c>
    </row>
    <row r="113" customFormat="false" ht="15" hidden="false" customHeight="false" outlineLevel="0" collapsed="false">
      <c r="A113" s="2" t="str">
        <f aca="false">IF(Worklogs!A113="","",Worklogs!A113&amp;" "&amp;Worklogs!B113)</f>
        <v/>
      </c>
      <c r="B113" s="3" t="str">
        <f aca="false">IF(Worklogs!A113="","",INT(ROUND(Worklogs!D113/60,0)/60))</f>
        <v/>
      </c>
      <c r="C113" s="3" t="str">
        <f aca="false">IF(Worklogs!A113="","",MOD(ROUND(Worklogs!D113/60,0),60))</f>
        <v/>
      </c>
      <c r="D113" s="4" t="str">
        <f aca="false">IF(Worklogs!A113="","",DATEVALUE(LEFT(Worklogs!E113,10)))</f>
        <v/>
      </c>
    </row>
    <row r="114" customFormat="false" ht="15" hidden="false" customHeight="false" outlineLevel="0" collapsed="false">
      <c r="A114" s="2" t="str">
        <f aca="false">IF(Worklogs!A114="","",Worklogs!A114&amp;" "&amp;Worklogs!B114)</f>
        <v/>
      </c>
      <c r="B114" s="3" t="str">
        <f aca="false">IF(Worklogs!A114="","",INT(ROUND(Worklogs!D114/60,0)/60))</f>
        <v/>
      </c>
      <c r="C114" s="3" t="str">
        <f aca="false">IF(Worklogs!A114="","",MOD(ROUND(Worklogs!D114/60,0),60))</f>
        <v/>
      </c>
      <c r="D114" s="4" t="str">
        <f aca="false">IF(Worklogs!A114="","",DATEVALUE(LEFT(Worklogs!E114,10)))</f>
        <v/>
      </c>
    </row>
    <row r="115" customFormat="false" ht="15" hidden="false" customHeight="false" outlineLevel="0" collapsed="false">
      <c r="A115" s="2" t="str">
        <f aca="false">IF(Worklogs!A115="","",Worklogs!A115&amp;" "&amp;Worklogs!B115)</f>
        <v/>
      </c>
      <c r="B115" s="3" t="str">
        <f aca="false">IF(Worklogs!A115="","",INT(ROUND(Worklogs!D115/60,0)/60))</f>
        <v/>
      </c>
      <c r="C115" s="3" t="str">
        <f aca="false">IF(Worklogs!A115="","",MOD(ROUND(Worklogs!D115/60,0),60))</f>
        <v/>
      </c>
      <c r="D115" s="4" t="str">
        <f aca="false">IF(Worklogs!A115="","",DATEVALUE(LEFT(Worklogs!E115,10)))</f>
        <v/>
      </c>
    </row>
    <row r="116" customFormat="false" ht="15" hidden="false" customHeight="false" outlineLevel="0" collapsed="false">
      <c r="A116" s="2" t="str">
        <f aca="false">IF(Worklogs!A116="","",Worklogs!A116&amp;" "&amp;Worklogs!B116)</f>
        <v/>
      </c>
      <c r="B116" s="3" t="str">
        <f aca="false">IF(Worklogs!A116="","",INT(ROUND(Worklogs!D116/60,0)/60))</f>
        <v/>
      </c>
      <c r="C116" s="3" t="str">
        <f aca="false">IF(Worklogs!A116="","",MOD(ROUND(Worklogs!D116/60,0),60))</f>
        <v/>
      </c>
      <c r="D116" s="4" t="str">
        <f aca="false">IF(Worklogs!A116="","",DATEVALUE(LEFT(Worklogs!E116,10)))</f>
        <v/>
      </c>
    </row>
    <row r="117" customFormat="false" ht="15" hidden="false" customHeight="false" outlineLevel="0" collapsed="false">
      <c r="A117" s="2" t="str">
        <f aca="false">IF(Worklogs!A117="","",Worklogs!A117&amp;" "&amp;Worklogs!B117)</f>
        <v/>
      </c>
      <c r="B117" s="3" t="str">
        <f aca="false">IF(Worklogs!A117="","",INT(ROUND(Worklogs!D117/60,0)/60))</f>
        <v/>
      </c>
      <c r="C117" s="3" t="str">
        <f aca="false">IF(Worklogs!A117="","",MOD(ROUND(Worklogs!D117/60,0),60))</f>
        <v/>
      </c>
      <c r="D117" s="4" t="str">
        <f aca="false">IF(Worklogs!A117="","",DATEVALUE(LEFT(Worklogs!E117,10)))</f>
        <v/>
      </c>
    </row>
    <row r="118" customFormat="false" ht="15" hidden="false" customHeight="false" outlineLevel="0" collapsed="false">
      <c r="A118" s="2" t="str">
        <f aca="false">IF(Worklogs!A118="","",Worklogs!A118&amp;" "&amp;Worklogs!B118)</f>
        <v/>
      </c>
      <c r="B118" s="3" t="str">
        <f aca="false">IF(Worklogs!A118="","",INT(ROUND(Worklogs!D118/60,0)/60))</f>
        <v/>
      </c>
      <c r="C118" s="3" t="str">
        <f aca="false">IF(Worklogs!A118="","",MOD(ROUND(Worklogs!D118/60,0),60))</f>
        <v/>
      </c>
      <c r="D118" s="4" t="str">
        <f aca="false">IF(Worklogs!A118="","",DATEVALUE(LEFT(Worklogs!E118,10)))</f>
        <v/>
      </c>
    </row>
    <row r="119" customFormat="false" ht="15" hidden="false" customHeight="false" outlineLevel="0" collapsed="false">
      <c r="A119" s="2" t="str">
        <f aca="false">IF(Worklogs!A119="","",Worklogs!A119&amp;" "&amp;Worklogs!B119)</f>
        <v/>
      </c>
      <c r="B119" s="3" t="str">
        <f aca="false">IF(Worklogs!A119="","",INT(ROUND(Worklogs!D119/60,0)/60))</f>
        <v/>
      </c>
      <c r="C119" s="3" t="str">
        <f aca="false">IF(Worklogs!A119="","",MOD(ROUND(Worklogs!D119/60,0),60))</f>
        <v/>
      </c>
      <c r="D119" s="4" t="str">
        <f aca="false">IF(Worklogs!A119="","",DATEVALUE(LEFT(Worklogs!E119,10)))</f>
        <v/>
      </c>
    </row>
    <row r="120" customFormat="false" ht="15" hidden="false" customHeight="false" outlineLevel="0" collapsed="false">
      <c r="A120" s="2" t="str">
        <f aca="false">IF(Worklogs!A120="","",Worklogs!A120&amp;" "&amp;Worklogs!B120)</f>
        <v/>
      </c>
      <c r="B120" s="3" t="str">
        <f aca="false">IF(Worklogs!A120="","",INT(ROUND(Worklogs!D120/60,0)/60))</f>
        <v/>
      </c>
      <c r="C120" s="3" t="str">
        <f aca="false">IF(Worklogs!A120="","",MOD(ROUND(Worklogs!D120/60,0),60))</f>
        <v/>
      </c>
      <c r="D120" s="4" t="str">
        <f aca="false">IF(Worklogs!A120="","",DATEVALUE(LEFT(Worklogs!E120,10)))</f>
        <v/>
      </c>
    </row>
    <row r="121" customFormat="false" ht="15" hidden="false" customHeight="false" outlineLevel="0" collapsed="false">
      <c r="A121" s="2" t="str">
        <f aca="false">IF(Worklogs!A121="","",Worklogs!A121&amp;" "&amp;Worklogs!B121)</f>
        <v/>
      </c>
      <c r="B121" s="3" t="str">
        <f aca="false">IF(Worklogs!A121="","",INT(ROUND(Worklogs!D121/60,0)/60))</f>
        <v/>
      </c>
      <c r="C121" s="3" t="str">
        <f aca="false">IF(Worklogs!A121="","",MOD(ROUND(Worklogs!D121/60,0),60))</f>
        <v/>
      </c>
      <c r="D121" s="4" t="str">
        <f aca="false">IF(Worklogs!A121="","",DATEVALUE(LEFT(Worklogs!E121,10)))</f>
        <v/>
      </c>
    </row>
    <row r="122" customFormat="false" ht="15" hidden="false" customHeight="false" outlineLevel="0" collapsed="false">
      <c r="A122" s="2" t="str">
        <f aca="false">IF(Worklogs!A122="","",Worklogs!A122&amp;" "&amp;Worklogs!B122)</f>
        <v/>
      </c>
      <c r="B122" s="3" t="str">
        <f aca="false">IF(Worklogs!A122="","",INT(ROUND(Worklogs!D122/60,0)/60))</f>
        <v/>
      </c>
      <c r="C122" s="3" t="str">
        <f aca="false">IF(Worklogs!A122="","",MOD(ROUND(Worklogs!D122/60,0),60))</f>
        <v/>
      </c>
      <c r="D122" s="4" t="str">
        <f aca="false">IF(Worklogs!A122="","",DATEVALUE(LEFT(Worklogs!E122,10)))</f>
        <v/>
      </c>
    </row>
    <row r="123" customFormat="false" ht="15" hidden="false" customHeight="false" outlineLevel="0" collapsed="false">
      <c r="A123" s="2" t="str">
        <f aca="false">IF(Worklogs!A123="","",Worklogs!A123&amp;" "&amp;Worklogs!B123)</f>
        <v/>
      </c>
      <c r="B123" s="3" t="str">
        <f aca="false">IF(Worklogs!A123="","",INT(ROUND(Worklogs!D123/60,0)/60))</f>
        <v/>
      </c>
      <c r="C123" s="3" t="str">
        <f aca="false">IF(Worklogs!A123="","",MOD(ROUND(Worklogs!D123/60,0),60))</f>
        <v/>
      </c>
      <c r="D123" s="4" t="str">
        <f aca="false">IF(Worklogs!A123="","",DATEVALUE(LEFT(Worklogs!E123,10)))</f>
        <v/>
      </c>
    </row>
    <row r="124" customFormat="false" ht="15" hidden="false" customHeight="false" outlineLevel="0" collapsed="false">
      <c r="A124" s="2" t="str">
        <f aca="false">IF(Worklogs!A124="","",Worklogs!A124&amp;" "&amp;Worklogs!B124)</f>
        <v/>
      </c>
      <c r="B124" s="3" t="str">
        <f aca="false">IF(Worklogs!A124="","",INT(ROUND(Worklogs!D124/60,0)/60))</f>
        <v/>
      </c>
      <c r="C124" s="3" t="str">
        <f aca="false">IF(Worklogs!A124="","",MOD(ROUND(Worklogs!D124/60,0),60))</f>
        <v/>
      </c>
      <c r="D124" s="4" t="str">
        <f aca="false">IF(Worklogs!A124="","",DATEVALUE(LEFT(Worklogs!E124,10)))</f>
        <v/>
      </c>
    </row>
    <row r="125" customFormat="false" ht="15" hidden="false" customHeight="false" outlineLevel="0" collapsed="false">
      <c r="A125" s="2" t="str">
        <f aca="false">IF(Worklogs!A125="","",Worklogs!A125&amp;" "&amp;Worklogs!B125)</f>
        <v/>
      </c>
      <c r="B125" s="3" t="str">
        <f aca="false">IF(Worklogs!A125="","",INT(ROUND(Worklogs!D125/60,0)/60))</f>
        <v/>
      </c>
      <c r="C125" s="3" t="str">
        <f aca="false">IF(Worklogs!A125="","",MOD(ROUND(Worklogs!D125/60,0),60))</f>
        <v/>
      </c>
      <c r="D125" s="4" t="str">
        <f aca="false">IF(Worklogs!A125="","",DATEVALUE(LEFT(Worklogs!E125,10)))</f>
        <v/>
      </c>
    </row>
    <row r="126" customFormat="false" ht="15" hidden="false" customHeight="false" outlineLevel="0" collapsed="false">
      <c r="A126" s="2" t="str">
        <f aca="false">IF(Worklogs!A126="","",Worklogs!A126&amp;" "&amp;Worklogs!B126)</f>
        <v/>
      </c>
      <c r="B126" s="3" t="str">
        <f aca="false">IF(Worklogs!A126="","",INT(ROUND(Worklogs!D126/60,0)/60))</f>
        <v/>
      </c>
      <c r="C126" s="3" t="str">
        <f aca="false">IF(Worklogs!A126="","",MOD(ROUND(Worklogs!D126/60,0),60))</f>
        <v/>
      </c>
      <c r="D126" s="4" t="str">
        <f aca="false">IF(Worklogs!A126="","",DATEVALUE(LEFT(Worklogs!E126,10)))</f>
        <v/>
      </c>
    </row>
    <row r="127" customFormat="false" ht="15" hidden="false" customHeight="false" outlineLevel="0" collapsed="false">
      <c r="A127" s="2" t="str">
        <f aca="false">IF(Worklogs!A127="","",Worklogs!A127&amp;" "&amp;Worklogs!B127)</f>
        <v/>
      </c>
      <c r="B127" s="3" t="str">
        <f aca="false">IF(Worklogs!A127="","",INT(ROUND(Worklogs!D127/60,0)/60))</f>
        <v/>
      </c>
      <c r="C127" s="3" t="str">
        <f aca="false">IF(Worklogs!A127="","",MOD(ROUND(Worklogs!D127/60,0),60))</f>
        <v/>
      </c>
      <c r="D127" s="4" t="str">
        <f aca="false">IF(Worklogs!A127="","",DATEVALUE(LEFT(Worklogs!E127,10)))</f>
        <v/>
      </c>
    </row>
    <row r="128" customFormat="false" ht="15" hidden="false" customHeight="false" outlineLevel="0" collapsed="false">
      <c r="A128" s="2" t="str">
        <f aca="false">IF(Worklogs!A128="","",Worklogs!A128&amp;" "&amp;Worklogs!B128)</f>
        <v/>
      </c>
      <c r="B128" s="3" t="str">
        <f aca="false">IF(Worklogs!A128="","",INT(ROUND(Worklogs!D128/60,0)/60))</f>
        <v/>
      </c>
      <c r="C128" s="3" t="str">
        <f aca="false">IF(Worklogs!A128="","",MOD(ROUND(Worklogs!D128/60,0),60))</f>
        <v/>
      </c>
      <c r="D128" s="4" t="str">
        <f aca="false">IF(Worklogs!A128="","",DATEVALUE(LEFT(Worklogs!E128,10)))</f>
        <v/>
      </c>
    </row>
    <row r="129" customFormat="false" ht="15" hidden="false" customHeight="false" outlineLevel="0" collapsed="false">
      <c r="A129" s="2" t="str">
        <f aca="false">IF(Worklogs!A129="","",Worklogs!A129&amp;" "&amp;Worklogs!B129)</f>
        <v/>
      </c>
      <c r="B129" s="3" t="str">
        <f aca="false">IF(Worklogs!A129="","",INT(ROUND(Worklogs!D129/60,0)/60))</f>
        <v/>
      </c>
      <c r="C129" s="3" t="str">
        <f aca="false">IF(Worklogs!A129="","",MOD(ROUND(Worklogs!D129/60,0),60))</f>
        <v/>
      </c>
      <c r="D129" s="4" t="str">
        <f aca="false">IF(Worklogs!A129="","",DATEVALUE(LEFT(Worklogs!E129,10)))</f>
        <v/>
      </c>
    </row>
    <row r="130" customFormat="false" ht="15" hidden="false" customHeight="false" outlineLevel="0" collapsed="false">
      <c r="A130" s="2" t="str">
        <f aca="false">IF(Worklogs!A130="","",Worklogs!A130&amp;" "&amp;Worklogs!B130)</f>
        <v/>
      </c>
      <c r="B130" s="3" t="str">
        <f aca="false">IF(Worklogs!A130="","",INT(ROUND(Worklogs!D130/60,0)/60))</f>
        <v/>
      </c>
      <c r="C130" s="3" t="str">
        <f aca="false">IF(Worklogs!A130="","",MOD(ROUND(Worklogs!D130/60,0),60))</f>
        <v/>
      </c>
      <c r="D130" s="4" t="str">
        <f aca="false">IF(Worklogs!A130="","",DATEVALUE(LEFT(Worklogs!E130,10)))</f>
        <v/>
      </c>
    </row>
    <row r="131" customFormat="false" ht="15" hidden="false" customHeight="false" outlineLevel="0" collapsed="false">
      <c r="A131" s="2" t="str">
        <f aca="false">IF(Worklogs!A131="","",Worklogs!A131&amp;" "&amp;Worklogs!B131)</f>
        <v/>
      </c>
      <c r="B131" s="3" t="str">
        <f aca="false">IF(Worklogs!A131="","",INT(ROUND(Worklogs!D131/60,0)/60))</f>
        <v/>
      </c>
      <c r="C131" s="3" t="str">
        <f aca="false">IF(Worklogs!A131="","",MOD(ROUND(Worklogs!D131/60,0),60))</f>
        <v/>
      </c>
      <c r="D131" s="4" t="str">
        <f aca="false">IF(Worklogs!A131="","",DATEVALUE(LEFT(Worklogs!E131,10)))</f>
        <v/>
      </c>
    </row>
    <row r="132" customFormat="false" ht="15" hidden="false" customHeight="false" outlineLevel="0" collapsed="false">
      <c r="A132" s="2" t="str">
        <f aca="false">IF(Worklogs!A132="","",Worklogs!A132&amp;" "&amp;Worklogs!B132)</f>
        <v/>
      </c>
      <c r="B132" s="3" t="str">
        <f aca="false">IF(Worklogs!A132="","",INT(ROUND(Worklogs!D132/60,0)/60))</f>
        <v/>
      </c>
      <c r="C132" s="3" t="str">
        <f aca="false">IF(Worklogs!A132="","",MOD(ROUND(Worklogs!D132/60,0),60))</f>
        <v/>
      </c>
      <c r="D132" s="4" t="str">
        <f aca="false">IF(Worklogs!A132="","",DATEVALUE(LEFT(Worklogs!E132,10)))</f>
        <v/>
      </c>
    </row>
    <row r="133" customFormat="false" ht="15" hidden="false" customHeight="false" outlineLevel="0" collapsed="false">
      <c r="A133" s="2" t="str">
        <f aca="false">IF(Worklogs!A133="","",Worklogs!A133&amp;" "&amp;Worklogs!B133)</f>
        <v/>
      </c>
      <c r="B133" s="3" t="str">
        <f aca="false">IF(Worklogs!A133="","",INT(ROUND(Worklogs!D133/60,0)/60))</f>
        <v/>
      </c>
      <c r="C133" s="3" t="str">
        <f aca="false">IF(Worklogs!A133="","",MOD(ROUND(Worklogs!D133/60,0),60))</f>
        <v/>
      </c>
      <c r="D133" s="4" t="str">
        <f aca="false">IF(Worklogs!A133="","",DATEVALUE(LEFT(Worklogs!E133,10)))</f>
        <v/>
      </c>
    </row>
    <row r="134" customFormat="false" ht="15" hidden="false" customHeight="false" outlineLevel="0" collapsed="false">
      <c r="A134" s="2" t="str">
        <f aca="false">IF(Worklogs!A134="","",Worklogs!A134&amp;" "&amp;Worklogs!B134)</f>
        <v/>
      </c>
      <c r="B134" s="3" t="str">
        <f aca="false">IF(Worklogs!A134="","",INT(ROUND(Worklogs!D134/60,0)/60))</f>
        <v/>
      </c>
      <c r="C134" s="3" t="str">
        <f aca="false">IF(Worklogs!A134="","",MOD(ROUND(Worklogs!D134/60,0),60))</f>
        <v/>
      </c>
      <c r="D134" s="4" t="str">
        <f aca="false">IF(Worklogs!A134="","",DATEVALUE(LEFT(Worklogs!E134,10)))</f>
        <v/>
      </c>
    </row>
    <row r="135" customFormat="false" ht="15" hidden="false" customHeight="false" outlineLevel="0" collapsed="false">
      <c r="A135" s="2" t="str">
        <f aca="false">IF(Worklogs!A135="","",Worklogs!A135&amp;" "&amp;Worklogs!B135)</f>
        <v/>
      </c>
      <c r="B135" s="3" t="str">
        <f aca="false">IF(Worklogs!A135="","",INT(ROUND(Worklogs!D135/60,0)/60))</f>
        <v/>
      </c>
      <c r="C135" s="3" t="str">
        <f aca="false">IF(Worklogs!A135="","",MOD(ROUND(Worklogs!D135/60,0),60))</f>
        <v/>
      </c>
      <c r="D135" s="4" t="str">
        <f aca="false">IF(Worklogs!A135="","",DATEVALUE(LEFT(Worklogs!E135,10)))</f>
        <v/>
      </c>
    </row>
    <row r="136" customFormat="false" ht="15" hidden="false" customHeight="false" outlineLevel="0" collapsed="false">
      <c r="A136" s="2" t="str">
        <f aca="false">IF(Worklogs!A136="","",Worklogs!A136&amp;" "&amp;Worklogs!B136)</f>
        <v/>
      </c>
      <c r="B136" s="3" t="str">
        <f aca="false">IF(Worklogs!A136="","",INT(ROUND(Worklogs!D136/60,0)/60))</f>
        <v/>
      </c>
      <c r="C136" s="3" t="str">
        <f aca="false">IF(Worklogs!A136="","",MOD(ROUND(Worklogs!D136/60,0),60))</f>
        <v/>
      </c>
      <c r="D136" s="4" t="str">
        <f aca="false">IF(Worklogs!A136="","",DATEVALUE(LEFT(Worklogs!E136,10)))</f>
        <v/>
      </c>
    </row>
    <row r="137" customFormat="false" ht="15" hidden="false" customHeight="false" outlineLevel="0" collapsed="false">
      <c r="A137" s="2" t="str">
        <f aca="false">IF(Worklogs!A137="","",Worklogs!A137&amp;" "&amp;Worklogs!B137)</f>
        <v/>
      </c>
      <c r="B137" s="3" t="str">
        <f aca="false">IF(Worklogs!A137="","",INT(ROUND(Worklogs!D137/60,0)/60))</f>
        <v/>
      </c>
      <c r="C137" s="3" t="str">
        <f aca="false">IF(Worklogs!A137="","",MOD(ROUND(Worklogs!D137/60,0),60))</f>
        <v/>
      </c>
      <c r="D137" s="4" t="str">
        <f aca="false">IF(Worklogs!A137="","",DATEVALUE(LEFT(Worklogs!E137,10)))</f>
        <v/>
      </c>
    </row>
    <row r="138" customFormat="false" ht="15" hidden="false" customHeight="false" outlineLevel="0" collapsed="false">
      <c r="A138" s="2" t="str">
        <f aca="false">IF(Worklogs!A138="","",Worklogs!A138&amp;" "&amp;Worklogs!B138)</f>
        <v/>
      </c>
      <c r="B138" s="3" t="str">
        <f aca="false">IF(Worklogs!A138="","",INT(ROUND(Worklogs!D138/60,0)/60))</f>
        <v/>
      </c>
      <c r="C138" s="3" t="str">
        <f aca="false">IF(Worklogs!A138="","",MOD(ROUND(Worklogs!D138/60,0),60))</f>
        <v/>
      </c>
      <c r="D138" s="4" t="str">
        <f aca="false">IF(Worklogs!A138="","",DATEVALUE(LEFT(Worklogs!E138,10)))</f>
        <v/>
      </c>
    </row>
    <row r="139" customFormat="false" ht="15" hidden="false" customHeight="false" outlineLevel="0" collapsed="false">
      <c r="A139" s="2" t="str">
        <f aca="false">IF(Worklogs!A139="","",Worklogs!A139&amp;" "&amp;Worklogs!B139)</f>
        <v/>
      </c>
      <c r="B139" s="3" t="str">
        <f aca="false">IF(Worklogs!A139="","",INT(ROUND(Worklogs!D139/60,0)/60))</f>
        <v/>
      </c>
      <c r="C139" s="3" t="str">
        <f aca="false">IF(Worklogs!A139="","",MOD(ROUND(Worklogs!D139/60,0),60))</f>
        <v/>
      </c>
      <c r="D139" s="4" t="str">
        <f aca="false">IF(Worklogs!A139="","",DATEVALUE(LEFT(Worklogs!E139,10)))</f>
        <v/>
      </c>
    </row>
    <row r="140" customFormat="false" ht="15" hidden="false" customHeight="false" outlineLevel="0" collapsed="false">
      <c r="A140" s="2" t="str">
        <f aca="false">IF(Worklogs!A140="","",Worklogs!A140&amp;" "&amp;Worklogs!B140)</f>
        <v/>
      </c>
      <c r="B140" s="3" t="str">
        <f aca="false">IF(Worklogs!A140="","",INT(ROUND(Worklogs!D140/60,0)/60))</f>
        <v/>
      </c>
      <c r="C140" s="3" t="str">
        <f aca="false">IF(Worklogs!A140="","",MOD(ROUND(Worklogs!D140/60,0),60))</f>
        <v/>
      </c>
      <c r="D140" s="4" t="str">
        <f aca="false">IF(Worklogs!A140="","",DATEVALUE(LEFT(Worklogs!E140,10)))</f>
        <v/>
      </c>
    </row>
    <row r="141" customFormat="false" ht="15" hidden="false" customHeight="false" outlineLevel="0" collapsed="false">
      <c r="A141" s="2" t="str">
        <f aca="false">IF(Worklogs!A141="","",Worklogs!A141&amp;" "&amp;Worklogs!B141)</f>
        <v/>
      </c>
      <c r="B141" s="3" t="str">
        <f aca="false">IF(Worklogs!A141="","",INT(ROUND(Worklogs!D141/60,0)/60))</f>
        <v/>
      </c>
      <c r="C141" s="3" t="str">
        <f aca="false">IF(Worklogs!A141="","",MOD(ROUND(Worklogs!D141/60,0),60))</f>
        <v/>
      </c>
      <c r="D141" s="4" t="str">
        <f aca="false">IF(Worklogs!A141="","",DATEVALUE(LEFT(Worklogs!E141,10)))</f>
        <v/>
      </c>
    </row>
    <row r="142" customFormat="false" ht="15" hidden="false" customHeight="false" outlineLevel="0" collapsed="false">
      <c r="A142" s="2" t="str">
        <f aca="false">IF(Worklogs!A142="","",Worklogs!A142&amp;" "&amp;Worklogs!B142)</f>
        <v/>
      </c>
      <c r="B142" s="3" t="str">
        <f aca="false">IF(Worklogs!A142="","",INT(ROUND(Worklogs!D142/60,0)/60))</f>
        <v/>
      </c>
      <c r="C142" s="3" t="str">
        <f aca="false">IF(Worklogs!A142="","",MOD(ROUND(Worklogs!D142/60,0),60))</f>
        <v/>
      </c>
      <c r="D142" s="4" t="str">
        <f aca="false">IF(Worklogs!A142="","",DATEVALUE(LEFT(Worklogs!E142,10)))</f>
        <v/>
      </c>
    </row>
    <row r="143" customFormat="false" ht="15" hidden="false" customHeight="false" outlineLevel="0" collapsed="false">
      <c r="A143" s="2" t="str">
        <f aca="false">IF(Worklogs!A143="","",Worklogs!A143&amp;" "&amp;Worklogs!B143)</f>
        <v/>
      </c>
      <c r="B143" s="3" t="str">
        <f aca="false">IF(Worklogs!A143="","",INT(ROUND(Worklogs!D143/60,0)/60))</f>
        <v/>
      </c>
      <c r="C143" s="3" t="str">
        <f aca="false">IF(Worklogs!A143="","",MOD(ROUND(Worklogs!D143/60,0),60))</f>
        <v/>
      </c>
      <c r="D143" s="4" t="str">
        <f aca="false">IF(Worklogs!A143="","",DATEVALUE(LEFT(Worklogs!E143,10)))</f>
        <v/>
      </c>
    </row>
    <row r="144" customFormat="false" ht="15" hidden="false" customHeight="false" outlineLevel="0" collapsed="false">
      <c r="A144" s="2" t="str">
        <f aca="false">IF(Worklogs!A144="","",Worklogs!A144&amp;" "&amp;Worklogs!B144)</f>
        <v/>
      </c>
      <c r="B144" s="3" t="str">
        <f aca="false">IF(Worklogs!A144="","",INT(ROUND(Worklogs!D144/60,0)/60))</f>
        <v/>
      </c>
      <c r="C144" s="3" t="str">
        <f aca="false">IF(Worklogs!A144="","",MOD(ROUND(Worklogs!D144/60,0),60))</f>
        <v/>
      </c>
      <c r="D144" s="4" t="str">
        <f aca="false">IF(Worklogs!A144="","",DATEVALUE(LEFT(Worklogs!E144,10)))</f>
        <v/>
      </c>
    </row>
    <row r="145" customFormat="false" ht="15" hidden="false" customHeight="false" outlineLevel="0" collapsed="false">
      <c r="A145" s="2" t="str">
        <f aca="false">IF(Worklogs!A145="","",Worklogs!A145&amp;" "&amp;Worklogs!B145)</f>
        <v/>
      </c>
      <c r="B145" s="3" t="str">
        <f aca="false">IF(Worklogs!A145="","",INT(ROUND(Worklogs!D145/60,0)/60))</f>
        <v/>
      </c>
      <c r="C145" s="3" t="str">
        <f aca="false">IF(Worklogs!A145="","",MOD(ROUND(Worklogs!D145/60,0),60))</f>
        <v/>
      </c>
      <c r="D145" s="4" t="str">
        <f aca="false">IF(Worklogs!A145="","",DATEVALUE(LEFT(Worklogs!E145,10)))</f>
        <v/>
      </c>
    </row>
    <row r="146" customFormat="false" ht="15" hidden="false" customHeight="false" outlineLevel="0" collapsed="false">
      <c r="A146" s="2" t="str">
        <f aca="false">IF(Worklogs!A146="","",Worklogs!A146&amp;" "&amp;Worklogs!B146)</f>
        <v/>
      </c>
      <c r="B146" s="3" t="str">
        <f aca="false">IF(Worklogs!A146="","",INT(ROUND(Worklogs!D146/60,0)/60))</f>
        <v/>
      </c>
      <c r="C146" s="3" t="str">
        <f aca="false">IF(Worklogs!A146="","",MOD(ROUND(Worklogs!D146/60,0),60))</f>
        <v/>
      </c>
      <c r="D146" s="4" t="str">
        <f aca="false">IF(Worklogs!A146="","",DATEVALUE(LEFT(Worklogs!E146,10)))</f>
        <v/>
      </c>
    </row>
    <row r="147" customFormat="false" ht="15" hidden="false" customHeight="false" outlineLevel="0" collapsed="false">
      <c r="A147" s="2" t="str">
        <f aca="false">IF(Worklogs!A147="","",Worklogs!A147&amp;" "&amp;Worklogs!B147)</f>
        <v/>
      </c>
      <c r="B147" s="3" t="str">
        <f aca="false">IF(Worklogs!A147="","",INT(ROUND(Worklogs!D147/60,0)/60))</f>
        <v/>
      </c>
      <c r="C147" s="3" t="str">
        <f aca="false">IF(Worklogs!A147="","",MOD(ROUND(Worklogs!D147/60,0),60))</f>
        <v/>
      </c>
      <c r="D147" s="4" t="str">
        <f aca="false">IF(Worklogs!A147="","",DATEVALUE(LEFT(Worklogs!E147,10)))</f>
        <v/>
      </c>
    </row>
    <row r="148" customFormat="false" ht="15" hidden="false" customHeight="false" outlineLevel="0" collapsed="false">
      <c r="A148" s="2" t="str">
        <f aca="false">IF(Worklogs!A148="","",Worklogs!A148&amp;" "&amp;Worklogs!B148)</f>
        <v/>
      </c>
      <c r="B148" s="3" t="str">
        <f aca="false">IF(Worklogs!A148="","",INT(ROUND(Worklogs!D148/60,0)/60))</f>
        <v/>
      </c>
      <c r="C148" s="3" t="str">
        <f aca="false">IF(Worklogs!A148="","",MOD(ROUND(Worklogs!D148/60,0),60))</f>
        <v/>
      </c>
      <c r="D148" s="4" t="str">
        <f aca="false">IF(Worklogs!A148="","",DATEVALUE(LEFT(Worklogs!E148,10)))</f>
        <v/>
      </c>
    </row>
    <row r="149" customFormat="false" ht="15" hidden="false" customHeight="false" outlineLevel="0" collapsed="false">
      <c r="A149" s="2" t="str">
        <f aca="false">IF(Worklogs!A149="","",Worklogs!A149&amp;" "&amp;Worklogs!B149)</f>
        <v/>
      </c>
      <c r="B149" s="3" t="str">
        <f aca="false">IF(Worklogs!A149="","",INT(ROUND(Worklogs!D149/60,0)/60))</f>
        <v/>
      </c>
      <c r="C149" s="3" t="str">
        <f aca="false">IF(Worklogs!A149="","",MOD(ROUND(Worklogs!D149/60,0),60))</f>
        <v/>
      </c>
      <c r="D149" s="4" t="str">
        <f aca="false">IF(Worklogs!A149="","",DATEVALUE(LEFT(Worklogs!E149,10)))</f>
        <v/>
      </c>
    </row>
    <row r="150" customFormat="false" ht="15" hidden="false" customHeight="false" outlineLevel="0" collapsed="false">
      <c r="A150" s="2" t="str">
        <f aca="false">IF(Worklogs!A150="","",Worklogs!A150&amp;" "&amp;Worklogs!B150)</f>
        <v/>
      </c>
      <c r="B150" s="3" t="str">
        <f aca="false">IF(Worklogs!A150="","",INT(ROUND(Worklogs!D150/60,0)/60))</f>
        <v/>
      </c>
      <c r="C150" s="3" t="str">
        <f aca="false">IF(Worklogs!A150="","",MOD(ROUND(Worklogs!D150/60,0),60))</f>
        <v/>
      </c>
      <c r="D150" s="4" t="str">
        <f aca="false">IF(Worklogs!A150="","",DATEVALUE(LEFT(Worklogs!E150,10)))</f>
        <v/>
      </c>
    </row>
    <row r="151" customFormat="false" ht="15" hidden="false" customHeight="false" outlineLevel="0" collapsed="false">
      <c r="A151" s="2" t="str">
        <f aca="false">IF(Worklogs!A151="","",Worklogs!A151&amp;" "&amp;Worklogs!B151)</f>
        <v/>
      </c>
      <c r="B151" s="3" t="str">
        <f aca="false">IF(Worklogs!A151="","",INT(ROUND(Worklogs!D151/60,0)/60))</f>
        <v/>
      </c>
      <c r="C151" s="3" t="str">
        <f aca="false">IF(Worklogs!A151="","",MOD(ROUND(Worklogs!D151/60,0),60))</f>
        <v/>
      </c>
      <c r="D151" s="4" t="str">
        <f aca="false">IF(Worklogs!A151="","",DATEVALUE(LEFT(Worklogs!E151,10)))</f>
        <v/>
      </c>
    </row>
    <row r="152" customFormat="false" ht="15" hidden="false" customHeight="false" outlineLevel="0" collapsed="false">
      <c r="A152" s="2" t="str">
        <f aca="false">IF(Worklogs!A152="","",Worklogs!A152&amp;" "&amp;Worklogs!B152)</f>
        <v/>
      </c>
      <c r="B152" s="3" t="str">
        <f aca="false">IF(Worklogs!A152="","",INT(ROUND(Worklogs!D152/60,0)/60))</f>
        <v/>
      </c>
      <c r="C152" s="3" t="str">
        <f aca="false">IF(Worklogs!A152="","",MOD(ROUND(Worklogs!D152/60,0),60))</f>
        <v/>
      </c>
      <c r="D152" s="4" t="str">
        <f aca="false">IF(Worklogs!A152="","",DATEVALUE(LEFT(Worklogs!E152,10)))</f>
        <v/>
      </c>
    </row>
    <row r="153" customFormat="false" ht="15" hidden="false" customHeight="false" outlineLevel="0" collapsed="false">
      <c r="A153" s="2" t="str">
        <f aca="false">IF(Worklogs!A153="","",Worklogs!A153&amp;" "&amp;Worklogs!B153)</f>
        <v/>
      </c>
      <c r="B153" s="3" t="str">
        <f aca="false">IF(Worklogs!A153="","",INT(ROUND(Worklogs!D153/60,0)/60))</f>
        <v/>
      </c>
      <c r="C153" s="3" t="str">
        <f aca="false">IF(Worklogs!A153="","",MOD(ROUND(Worklogs!D153/60,0),60))</f>
        <v/>
      </c>
      <c r="D153" s="4" t="str">
        <f aca="false">IF(Worklogs!A153="","",DATEVALUE(LEFT(Worklogs!E153,10)))</f>
        <v/>
      </c>
    </row>
    <row r="154" customFormat="false" ht="15" hidden="false" customHeight="false" outlineLevel="0" collapsed="false">
      <c r="A154" s="2" t="str">
        <f aca="false">IF(Worklogs!A154="","",Worklogs!A154&amp;" "&amp;Worklogs!B154)</f>
        <v/>
      </c>
      <c r="B154" s="3" t="str">
        <f aca="false">IF(Worklogs!A154="","",INT(ROUND(Worklogs!D154/60,0)/60))</f>
        <v/>
      </c>
      <c r="C154" s="3" t="str">
        <f aca="false">IF(Worklogs!A154="","",MOD(ROUND(Worklogs!D154/60,0),60))</f>
        <v/>
      </c>
      <c r="D154" s="4" t="str">
        <f aca="false">IF(Worklogs!A154="","",DATEVALUE(LEFT(Worklogs!E154,10)))</f>
        <v/>
      </c>
    </row>
    <row r="155" customFormat="false" ht="15" hidden="false" customHeight="false" outlineLevel="0" collapsed="false">
      <c r="A155" s="2" t="str">
        <f aca="false">IF(Worklogs!A155="","",Worklogs!A155&amp;" "&amp;Worklogs!B155)</f>
        <v/>
      </c>
      <c r="B155" s="3" t="str">
        <f aca="false">IF(Worklogs!A155="","",INT(ROUND(Worklogs!D155/60,0)/60))</f>
        <v/>
      </c>
      <c r="C155" s="3" t="str">
        <f aca="false">IF(Worklogs!A155="","",MOD(ROUND(Worklogs!D155/60,0),60))</f>
        <v/>
      </c>
      <c r="D155" s="4" t="str">
        <f aca="false">IF(Worklogs!A155="","",DATEVALUE(LEFT(Worklogs!E155,10)))</f>
        <v/>
      </c>
    </row>
    <row r="156" customFormat="false" ht="15" hidden="false" customHeight="false" outlineLevel="0" collapsed="false">
      <c r="A156" s="2" t="str">
        <f aca="false">IF(Worklogs!A156="","",Worklogs!A156&amp;" "&amp;Worklogs!B156)</f>
        <v/>
      </c>
      <c r="B156" s="3" t="str">
        <f aca="false">IF(Worklogs!A156="","",INT(ROUND(Worklogs!D156/60,0)/60))</f>
        <v/>
      </c>
      <c r="C156" s="3" t="str">
        <f aca="false">IF(Worklogs!A156="","",MOD(ROUND(Worklogs!D156/60,0),60))</f>
        <v/>
      </c>
      <c r="D156" s="4" t="str">
        <f aca="false">IF(Worklogs!A156="","",DATEVALUE(LEFT(Worklogs!E156,10)))</f>
        <v/>
      </c>
    </row>
    <row r="157" customFormat="false" ht="15" hidden="false" customHeight="false" outlineLevel="0" collapsed="false">
      <c r="A157" s="2" t="str">
        <f aca="false">IF(Worklogs!A157="","",Worklogs!A157&amp;" "&amp;Worklogs!B157)</f>
        <v/>
      </c>
      <c r="B157" s="3" t="str">
        <f aca="false">IF(Worklogs!A157="","",INT(ROUND(Worklogs!D157/60,0)/60))</f>
        <v/>
      </c>
      <c r="C157" s="3" t="str">
        <f aca="false">IF(Worklogs!A157="","",MOD(ROUND(Worklogs!D157/60,0),60))</f>
        <v/>
      </c>
      <c r="D157" s="4" t="str">
        <f aca="false">IF(Worklogs!A157="","",DATEVALUE(LEFT(Worklogs!E157,10)))</f>
        <v/>
      </c>
    </row>
    <row r="158" customFormat="false" ht="15" hidden="false" customHeight="false" outlineLevel="0" collapsed="false">
      <c r="A158" s="2" t="str">
        <f aca="false">IF(Worklogs!A158="","",Worklogs!A158&amp;" "&amp;Worklogs!B158)</f>
        <v/>
      </c>
      <c r="B158" s="3" t="str">
        <f aca="false">IF(Worklogs!A158="","",INT(ROUND(Worklogs!D158/60,0)/60))</f>
        <v/>
      </c>
      <c r="C158" s="3" t="str">
        <f aca="false">IF(Worklogs!A158="","",MOD(ROUND(Worklogs!D158/60,0),60))</f>
        <v/>
      </c>
      <c r="D158" s="4" t="str">
        <f aca="false">IF(Worklogs!A158="","",DATEVALUE(LEFT(Worklogs!E158,10)))</f>
        <v/>
      </c>
    </row>
    <row r="159" customFormat="false" ht="15" hidden="false" customHeight="false" outlineLevel="0" collapsed="false">
      <c r="A159" s="2" t="str">
        <f aca="false">IF(Worklogs!A159="","",Worklogs!A159&amp;" "&amp;Worklogs!B159)</f>
        <v/>
      </c>
      <c r="B159" s="3" t="str">
        <f aca="false">IF(Worklogs!A159="","",INT(ROUND(Worklogs!D159/60,0)/60))</f>
        <v/>
      </c>
      <c r="C159" s="3" t="str">
        <f aca="false">IF(Worklogs!A159="","",MOD(ROUND(Worklogs!D159/60,0),60))</f>
        <v/>
      </c>
      <c r="D159" s="4" t="str">
        <f aca="false">IF(Worklogs!A159="","",DATEVALUE(LEFT(Worklogs!E159,10)))</f>
        <v/>
      </c>
    </row>
    <row r="160" customFormat="false" ht="15" hidden="false" customHeight="false" outlineLevel="0" collapsed="false">
      <c r="A160" s="2" t="str">
        <f aca="false">IF(Worklogs!A160="","",Worklogs!A160&amp;" "&amp;Worklogs!B160)</f>
        <v/>
      </c>
      <c r="B160" s="3" t="str">
        <f aca="false">IF(Worklogs!A160="","",INT(ROUND(Worklogs!D160/60,0)/60))</f>
        <v/>
      </c>
      <c r="C160" s="3" t="str">
        <f aca="false">IF(Worklogs!A160="","",MOD(ROUND(Worklogs!D160/60,0),60))</f>
        <v/>
      </c>
      <c r="D160" s="4" t="str">
        <f aca="false">IF(Worklogs!A160="","",DATEVALUE(LEFT(Worklogs!E160,10)))</f>
        <v/>
      </c>
    </row>
    <row r="161" customFormat="false" ht="15" hidden="false" customHeight="false" outlineLevel="0" collapsed="false">
      <c r="A161" s="2" t="str">
        <f aca="false">IF(Worklogs!A161="","",Worklogs!A161&amp;" "&amp;Worklogs!B161)</f>
        <v/>
      </c>
      <c r="B161" s="3" t="str">
        <f aca="false">IF(Worklogs!A161="","",INT(ROUND(Worklogs!D161/60,0)/60))</f>
        <v/>
      </c>
      <c r="C161" s="3" t="str">
        <f aca="false">IF(Worklogs!A161="","",MOD(ROUND(Worklogs!D161/60,0),60))</f>
        <v/>
      </c>
      <c r="D161" s="4" t="str">
        <f aca="false">IF(Worklogs!A161="","",DATEVALUE(LEFT(Worklogs!E161,10)))</f>
        <v/>
      </c>
    </row>
    <row r="162" customFormat="false" ht="15" hidden="false" customHeight="false" outlineLevel="0" collapsed="false">
      <c r="A162" s="2" t="str">
        <f aca="false">IF(Worklogs!A162="","",Worklogs!A162&amp;" "&amp;Worklogs!B162)</f>
        <v/>
      </c>
      <c r="B162" s="3" t="str">
        <f aca="false">IF(Worklogs!A162="","",INT(ROUND(Worklogs!D162/60,0)/60))</f>
        <v/>
      </c>
      <c r="C162" s="3" t="str">
        <f aca="false">IF(Worklogs!A162="","",MOD(ROUND(Worklogs!D162/60,0),60))</f>
        <v/>
      </c>
      <c r="D162" s="4" t="str">
        <f aca="false">IF(Worklogs!A162="","",DATEVALUE(LEFT(Worklogs!E162,10)))</f>
        <v/>
      </c>
    </row>
    <row r="163" customFormat="false" ht="15" hidden="false" customHeight="false" outlineLevel="0" collapsed="false">
      <c r="A163" s="2" t="str">
        <f aca="false">IF(Worklogs!A163="","",Worklogs!A163&amp;" "&amp;Worklogs!B163)</f>
        <v/>
      </c>
      <c r="B163" s="3" t="str">
        <f aca="false">IF(Worklogs!A163="","",INT(ROUND(Worklogs!D163/60,0)/60))</f>
        <v/>
      </c>
      <c r="C163" s="3" t="str">
        <f aca="false">IF(Worklogs!A163="","",MOD(ROUND(Worklogs!D163/60,0),60))</f>
        <v/>
      </c>
      <c r="D163" s="4" t="str">
        <f aca="false">IF(Worklogs!A163="","",DATEVALUE(LEFT(Worklogs!E163,10)))</f>
        <v/>
      </c>
    </row>
    <row r="164" customFormat="false" ht="15" hidden="false" customHeight="false" outlineLevel="0" collapsed="false">
      <c r="A164" s="2" t="str">
        <f aca="false">IF(Worklogs!A164="","",Worklogs!A164&amp;" "&amp;Worklogs!B164)</f>
        <v/>
      </c>
      <c r="B164" s="3" t="str">
        <f aca="false">IF(Worklogs!A164="","",INT(ROUND(Worklogs!D164/60,0)/60))</f>
        <v/>
      </c>
      <c r="C164" s="3" t="str">
        <f aca="false">IF(Worklogs!A164="","",MOD(ROUND(Worklogs!D164/60,0),60))</f>
        <v/>
      </c>
      <c r="D164" s="4" t="str">
        <f aca="false">IF(Worklogs!A164="","",DATEVALUE(LEFT(Worklogs!E164,10)))</f>
        <v/>
      </c>
    </row>
    <row r="165" customFormat="false" ht="15" hidden="false" customHeight="false" outlineLevel="0" collapsed="false">
      <c r="A165" s="2" t="str">
        <f aca="false">IF(Worklogs!A165="","",Worklogs!A165&amp;" "&amp;Worklogs!B165)</f>
        <v/>
      </c>
      <c r="B165" s="3" t="str">
        <f aca="false">IF(Worklogs!A165="","",INT(ROUND(Worklogs!D165/60,0)/60))</f>
        <v/>
      </c>
      <c r="C165" s="3" t="str">
        <f aca="false">IF(Worklogs!A165="","",MOD(ROUND(Worklogs!D165/60,0),60))</f>
        <v/>
      </c>
      <c r="D165" s="4" t="str">
        <f aca="false">IF(Worklogs!A165="","",DATEVALUE(LEFT(Worklogs!E165,10)))</f>
        <v/>
      </c>
    </row>
    <row r="166" customFormat="false" ht="15" hidden="false" customHeight="false" outlineLevel="0" collapsed="false">
      <c r="A166" s="2" t="str">
        <f aca="false">IF(Worklogs!A166="","",Worklogs!A166&amp;" "&amp;Worklogs!B166)</f>
        <v/>
      </c>
      <c r="B166" s="3" t="str">
        <f aca="false">IF(Worklogs!A166="","",INT(ROUND(Worklogs!D166/60,0)/60))</f>
        <v/>
      </c>
      <c r="C166" s="3" t="str">
        <f aca="false">IF(Worklogs!A166="","",MOD(ROUND(Worklogs!D166/60,0),60))</f>
        <v/>
      </c>
      <c r="D166" s="4" t="str">
        <f aca="false">IF(Worklogs!A166="","",DATEVALUE(LEFT(Worklogs!E166,10)))</f>
        <v/>
      </c>
    </row>
    <row r="167" customFormat="false" ht="15" hidden="false" customHeight="false" outlineLevel="0" collapsed="false">
      <c r="A167" s="2" t="str">
        <f aca="false">IF(Worklogs!A167="","",Worklogs!A167&amp;" "&amp;Worklogs!B167)</f>
        <v/>
      </c>
      <c r="B167" s="3" t="str">
        <f aca="false">IF(Worklogs!A167="","",INT(ROUND(Worklogs!D167/60,0)/60))</f>
        <v/>
      </c>
      <c r="C167" s="3" t="str">
        <f aca="false">IF(Worklogs!A167="","",MOD(ROUND(Worklogs!D167/60,0),60))</f>
        <v/>
      </c>
      <c r="D167" s="4" t="str">
        <f aca="false">IF(Worklogs!A167="","",DATEVALUE(LEFT(Worklogs!E167,10)))</f>
        <v/>
      </c>
    </row>
    <row r="168" customFormat="false" ht="15" hidden="false" customHeight="false" outlineLevel="0" collapsed="false">
      <c r="A168" s="2" t="str">
        <f aca="false">IF(Worklogs!A168="","",Worklogs!A168&amp;" "&amp;Worklogs!B168)</f>
        <v/>
      </c>
      <c r="B168" s="3" t="str">
        <f aca="false">IF(Worklogs!A168="","",INT(ROUND(Worklogs!D168/60,0)/60))</f>
        <v/>
      </c>
      <c r="C168" s="3" t="str">
        <f aca="false">IF(Worklogs!A168="","",MOD(ROUND(Worklogs!D168/60,0),60))</f>
        <v/>
      </c>
      <c r="D168" s="4" t="str">
        <f aca="false">IF(Worklogs!A168="","",DATEVALUE(LEFT(Worklogs!E168,10)))</f>
        <v/>
      </c>
    </row>
    <row r="169" customFormat="false" ht="15" hidden="false" customHeight="false" outlineLevel="0" collapsed="false">
      <c r="A169" s="2" t="str">
        <f aca="false">IF(Worklogs!A169="","",Worklogs!A169&amp;" "&amp;Worklogs!B169)</f>
        <v/>
      </c>
      <c r="B169" s="3" t="str">
        <f aca="false">IF(Worklogs!A169="","",INT(ROUND(Worklogs!D169/60,0)/60))</f>
        <v/>
      </c>
      <c r="C169" s="3" t="str">
        <f aca="false">IF(Worklogs!A169="","",MOD(ROUND(Worklogs!D169/60,0),60))</f>
        <v/>
      </c>
      <c r="D169" s="4" t="str">
        <f aca="false">IF(Worklogs!A169="","",DATEVALUE(LEFT(Worklogs!E169,10)))</f>
        <v/>
      </c>
    </row>
    <row r="170" customFormat="false" ht="15" hidden="false" customHeight="false" outlineLevel="0" collapsed="false">
      <c r="A170" s="2" t="str">
        <f aca="false">IF(Worklogs!A170="","",Worklogs!A170&amp;" "&amp;Worklogs!B170)</f>
        <v/>
      </c>
      <c r="B170" s="3" t="str">
        <f aca="false">IF(Worklogs!A170="","",INT(ROUND(Worklogs!D170/60,0)/60))</f>
        <v/>
      </c>
      <c r="C170" s="3" t="str">
        <f aca="false">IF(Worklogs!A170="","",MOD(ROUND(Worklogs!D170/60,0),60))</f>
        <v/>
      </c>
      <c r="D170" s="4" t="str">
        <f aca="false">IF(Worklogs!A170="","",DATEVALUE(LEFT(Worklogs!E170,10)))</f>
        <v/>
      </c>
    </row>
    <row r="171" customFormat="false" ht="15" hidden="false" customHeight="false" outlineLevel="0" collapsed="false">
      <c r="A171" s="2" t="str">
        <f aca="false">IF(Worklogs!A171="","",Worklogs!A171&amp;" "&amp;Worklogs!B171)</f>
        <v/>
      </c>
      <c r="B171" s="3" t="str">
        <f aca="false">IF(Worklogs!A171="","",INT(ROUND(Worklogs!D171/60,0)/60))</f>
        <v/>
      </c>
      <c r="C171" s="3" t="str">
        <f aca="false">IF(Worklogs!A171="","",MOD(ROUND(Worklogs!D171/60,0),60))</f>
        <v/>
      </c>
      <c r="D171" s="4" t="str">
        <f aca="false">IF(Worklogs!A171="","",DATEVALUE(LEFT(Worklogs!E171,10)))</f>
        <v/>
      </c>
    </row>
    <row r="172" customFormat="false" ht="15" hidden="false" customHeight="false" outlineLevel="0" collapsed="false">
      <c r="A172" s="2" t="str">
        <f aca="false">IF(Worklogs!A172="","",Worklogs!A172&amp;" "&amp;Worklogs!B172)</f>
        <v/>
      </c>
      <c r="B172" s="3" t="str">
        <f aca="false">IF(Worklogs!A172="","",INT(ROUND(Worklogs!D172/60,0)/60))</f>
        <v/>
      </c>
      <c r="C172" s="3" t="str">
        <f aca="false">IF(Worklogs!A172="","",MOD(ROUND(Worklogs!D172/60,0),60))</f>
        <v/>
      </c>
      <c r="D172" s="4" t="str">
        <f aca="false">IF(Worklogs!A172="","",DATEVALUE(LEFT(Worklogs!E172,10)))</f>
        <v/>
      </c>
    </row>
    <row r="173" customFormat="false" ht="15" hidden="false" customHeight="false" outlineLevel="0" collapsed="false">
      <c r="A173" s="2" t="str">
        <f aca="false">IF(Worklogs!A173="","",Worklogs!A173&amp;" "&amp;Worklogs!B173)</f>
        <v/>
      </c>
      <c r="B173" s="3" t="str">
        <f aca="false">IF(Worklogs!A173="","",INT(ROUND(Worklogs!D173/60,0)/60))</f>
        <v/>
      </c>
      <c r="C173" s="3" t="str">
        <f aca="false">IF(Worklogs!A173="","",MOD(ROUND(Worklogs!D173/60,0),60))</f>
        <v/>
      </c>
      <c r="D173" s="4" t="str">
        <f aca="false">IF(Worklogs!A173="","",DATEVALUE(LEFT(Worklogs!E173,10)))</f>
        <v/>
      </c>
    </row>
    <row r="174" customFormat="false" ht="15" hidden="false" customHeight="false" outlineLevel="0" collapsed="false">
      <c r="A174" s="2" t="str">
        <f aca="false">IF(Worklogs!A174="","",Worklogs!A174&amp;" "&amp;Worklogs!B174)</f>
        <v/>
      </c>
      <c r="B174" s="3" t="str">
        <f aca="false">IF(Worklogs!A174="","",INT(ROUND(Worklogs!D174/60,0)/60))</f>
        <v/>
      </c>
      <c r="C174" s="3" t="str">
        <f aca="false">IF(Worklogs!A174="","",MOD(ROUND(Worklogs!D174/60,0),60))</f>
        <v/>
      </c>
      <c r="D174" s="4" t="str">
        <f aca="false">IF(Worklogs!A174="","",DATEVALUE(LEFT(Worklogs!E174,10)))</f>
        <v/>
      </c>
    </row>
    <row r="175" customFormat="false" ht="15" hidden="false" customHeight="false" outlineLevel="0" collapsed="false">
      <c r="A175" s="2" t="str">
        <f aca="false">IF(Worklogs!A175="","",Worklogs!A175&amp;" "&amp;Worklogs!B175)</f>
        <v/>
      </c>
      <c r="B175" s="3" t="str">
        <f aca="false">IF(Worklogs!A175="","",INT(ROUND(Worklogs!D175/60,0)/60))</f>
        <v/>
      </c>
      <c r="C175" s="3" t="str">
        <f aca="false">IF(Worklogs!A175="","",MOD(ROUND(Worklogs!D175/60,0),60))</f>
        <v/>
      </c>
      <c r="D175" s="4" t="str">
        <f aca="false">IF(Worklogs!A175="","",DATEVALUE(LEFT(Worklogs!E175,10)))</f>
        <v/>
      </c>
    </row>
    <row r="176" customFormat="false" ht="15" hidden="false" customHeight="false" outlineLevel="0" collapsed="false">
      <c r="A176" s="2" t="str">
        <f aca="false">IF(Worklogs!A176="","",Worklogs!A176&amp;" "&amp;Worklogs!B176)</f>
        <v/>
      </c>
      <c r="B176" s="3" t="str">
        <f aca="false">IF(Worklogs!A176="","",INT(ROUND(Worklogs!D176/60,0)/60))</f>
        <v/>
      </c>
      <c r="C176" s="3" t="str">
        <f aca="false">IF(Worklogs!A176="","",MOD(ROUND(Worklogs!D176/60,0),60))</f>
        <v/>
      </c>
      <c r="D176" s="4" t="str">
        <f aca="false">IF(Worklogs!A176="","",DATEVALUE(LEFT(Worklogs!E176,10)))</f>
        <v/>
      </c>
    </row>
    <row r="177" customFormat="false" ht="15" hidden="false" customHeight="false" outlineLevel="0" collapsed="false">
      <c r="A177" s="2" t="str">
        <f aca="false">IF(Worklogs!A177="","",Worklogs!A177&amp;" "&amp;Worklogs!B177)</f>
        <v/>
      </c>
      <c r="B177" s="3" t="str">
        <f aca="false">IF(Worklogs!A177="","",INT(ROUND(Worklogs!D177/60,0)/60))</f>
        <v/>
      </c>
      <c r="C177" s="3" t="str">
        <f aca="false">IF(Worklogs!A177="","",MOD(ROUND(Worklogs!D177/60,0),60))</f>
        <v/>
      </c>
      <c r="D177" s="4" t="str">
        <f aca="false">IF(Worklogs!A177="","",DATEVALUE(LEFT(Worklogs!E177,10)))</f>
        <v/>
      </c>
    </row>
    <row r="178" customFormat="false" ht="15" hidden="false" customHeight="false" outlineLevel="0" collapsed="false">
      <c r="A178" s="2" t="str">
        <f aca="false">IF(Worklogs!A178="","",Worklogs!A178&amp;" "&amp;Worklogs!B178)</f>
        <v/>
      </c>
      <c r="B178" s="3" t="str">
        <f aca="false">IF(Worklogs!A178="","",INT(ROUND(Worklogs!D178/60,0)/60))</f>
        <v/>
      </c>
      <c r="C178" s="3" t="str">
        <f aca="false">IF(Worklogs!A178="","",MOD(ROUND(Worklogs!D178/60,0),60))</f>
        <v/>
      </c>
      <c r="D178" s="4" t="str">
        <f aca="false">IF(Worklogs!A178="","",DATEVALUE(LEFT(Worklogs!E178,10)))</f>
        <v/>
      </c>
    </row>
    <row r="179" customFormat="false" ht="15" hidden="false" customHeight="false" outlineLevel="0" collapsed="false">
      <c r="A179" s="2" t="str">
        <f aca="false">IF(Worklogs!A179="","",Worklogs!A179&amp;" "&amp;Worklogs!B179)</f>
        <v/>
      </c>
      <c r="B179" s="3" t="str">
        <f aca="false">IF(Worklogs!A179="","",INT(ROUND(Worklogs!D179/60,0)/60))</f>
        <v/>
      </c>
      <c r="C179" s="3" t="str">
        <f aca="false">IF(Worklogs!A179="","",MOD(ROUND(Worklogs!D179/60,0),60))</f>
        <v/>
      </c>
      <c r="D179" s="4" t="str">
        <f aca="false">IF(Worklogs!A179="","",DATEVALUE(LEFT(Worklogs!E179,10)))</f>
        <v/>
      </c>
    </row>
    <row r="180" customFormat="false" ht="15" hidden="false" customHeight="false" outlineLevel="0" collapsed="false">
      <c r="A180" s="2" t="str">
        <f aca="false">IF(Worklogs!A180="","",Worklogs!A180&amp;" "&amp;Worklogs!B180)</f>
        <v/>
      </c>
      <c r="B180" s="3" t="str">
        <f aca="false">IF(Worklogs!A180="","",INT(ROUND(Worklogs!D180/60,0)/60))</f>
        <v/>
      </c>
      <c r="C180" s="3" t="str">
        <f aca="false">IF(Worklogs!A180="","",MOD(ROUND(Worklogs!D180/60,0),60))</f>
        <v/>
      </c>
      <c r="D180" s="4" t="str">
        <f aca="false">IF(Worklogs!A180="","",DATEVALUE(LEFT(Worklogs!E180,10)))</f>
        <v/>
      </c>
    </row>
    <row r="181" customFormat="false" ht="15" hidden="false" customHeight="false" outlineLevel="0" collapsed="false">
      <c r="A181" s="2" t="str">
        <f aca="false">IF(Worklogs!A181="","",Worklogs!A181&amp;" "&amp;Worklogs!B181)</f>
        <v/>
      </c>
      <c r="B181" s="3" t="str">
        <f aca="false">IF(Worklogs!A181="","",INT(ROUND(Worklogs!D181/60,0)/60))</f>
        <v/>
      </c>
      <c r="C181" s="3" t="str">
        <f aca="false">IF(Worklogs!A181="","",MOD(ROUND(Worklogs!D181/60,0),60))</f>
        <v/>
      </c>
      <c r="D181" s="4" t="str">
        <f aca="false">IF(Worklogs!A181="","",DATEVALUE(LEFT(Worklogs!E181,10)))</f>
        <v/>
      </c>
    </row>
    <row r="182" customFormat="false" ht="15" hidden="false" customHeight="false" outlineLevel="0" collapsed="false">
      <c r="A182" s="2" t="str">
        <f aca="false">IF(Worklogs!A182="","",Worklogs!A182&amp;" "&amp;Worklogs!B182)</f>
        <v/>
      </c>
      <c r="B182" s="3" t="str">
        <f aca="false">IF(Worklogs!A182="","",INT(ROUND(Worklogs!D182/60,0)/60))</f>
        <v/>
      </c>
      <c r="C182" s="3" t="str">
        <f aca="false">IF(Worklogs!A182="","",MOD(ROUND(Worklogs!D182/60,0),60))</f>
        <v/>
      </c>
      <c r="D182" s="4" t="str">
        <f aca="false">IF(Worklogs!A182="","",DATEVALUE(LEFT(Worklogs!E182,10)))</f>
        <v/>
      </c>
    </row>
    <row r="183" customFormat="false" ht="15" hidden="false" customHeight="false" outlineLevel="0" collapsed="false">
      <c r="A183" s="2" t="str">
        <f aca="false">IF(Worklogs!A183="","",Worklogs!A183&amp;" "&amp;Worklogs!B183)</f>
        <v/>
      </c>
      <c r="B183" s="3" t="str">
        <f aca="false">IF(Worklogs!A183="","",INT(ROUND(Worklogs!D183/60,0)/60))</f>
        <v/>
      </c>
      <c r="C183" s="3" t="str">
        <f aca="false">IF(Worklogs!A183="","",MOD(ROUND(Worklogs!D183/60,0),60))</f>
        <v/>
      </c>
      <c r="D183" s="4" t="str">
        <f aca="false">IF(Worklogs!A183="","",DATEVALUE(LEFT(Worklogs!E183,10)))</f>
        <v/>
      </c>
    </row>
    <row r="184" customFormat="false" ht="15" hidden="false" customHeight="false" outlineLevel="0" collapsed="false">
      <c r="A184" s="2" t="str">
        <f aca="false">IF(Worklogs!A184="","",Worklogs!A184&amp;" "&amp;Worklogs!B184)</f>
        <v/>
      </c>
      <c r="B184" s="3" t="str">
        <f aca="false">IF(Worklogs!A184="","",INT(ROUND(Worklogs!D184/60,0)/60))</f>
        <v/>
      </c>
      <c r="C184" s="3" t="str">
        <f aca="false">IF(Worklogs!A184="","",MOD(ROUND(Worklogs!D184/60,0),60))</f>
        <v/>
      </c>
      <c r="D184" s="4" t="str">
        <f aca="false">IF(Worklogs!A184="","",DATEVALUE(LEFT(Worklogs!E184,10)))</f>
        <v/>
      </c>
    </row>
    <row r="185" customFormat="false" ht="15" hidden="false" customHeight="false" outlineLevel="0" collapsed="false">
      <c r="A185" s="2" t="str">
        <f aca="false">IF(Worklogs!A185="","",Worklogs!A185&amp;" "&amp;Worklogs!B185)</f>
        <v/>
      </c>
      <c r="B185" s="3" t="str">
        <f aca="false">IF(Worklogs!A185="","",INT(ROUND(Worklogs!D185/60,0)/60))</f>
        <v/>
      </c>
      <c r="C185" s="3" t="str">
        <f aca="false">IF(Worklogs!A185="","",MOD(ROUND(Worklogs!D185/60,0),60))</f>
        <v/>
      </c>
      <c r="D185" s="4" t="str">
        <f aca="false">IF(Worklogs!A185="","",DATEVALUE(LEFT(Worklogs!E185,10)))</f>
        <v/>
      </c>
    </row>
    <row r="186" customFormat="false" ht="15" hidden="false" customHeight="false" outlineLevel="0" collapsed="false">
      <c r="A186" s="2" t="str">
        <f aca="false">IF(Worklogs!A186="","",Worklogs!A186&amp;" "&amp;Worklogs!B186)</f>
        <v/>
      </c>
      <c r="B186" s="3" t="str">
        <f aca="false">IF(Worklogs!A186="","",INT(ROUND(Worklogs!D186/60,0)/60))</f>
        <v/>
      </c>
      <c r="C186" s="3" t="str">
        <f aca="false">IF(Worklogs!A186="","",MOD(ROUND(Worklogs!D186/60,0),60))</f>
        <v/>
      </c>
      <c r="D186" s="4" t="str">
        <f aca="false">IF(Worklogs!A186="","",DATEVALUE(LEFT(Worklogs!E186,10)))</f>
        <v/>
      </c>
    </row>
    <row r="187" customFormat="false" ht="15" hidden="false" customHeight="false" outlineLevel="0" collapsed="false">
      <c r="A187" s="2" t="str">
        <f aca="false">IF(Worklogs!A187="","",Worklogs!A187&amp;" "&amp;Worklogs!B187)</f>
        <v/>
      </c>
      <c r="B187" s="3" t="str">
        <f aca="false">IF(Worklogs!A187="","",INT(ROUND(Worklogs!D187/60,0)/60))</f>
        <v/>
      </c>
      <c r="C187" s="3" t="str">
        <f aca="false">IF(Worklogs!A187="","",MOD(ROUND(Worklogs!D187/60,0),60))</f>
        <v/>
      </c>
      <c r="D187" s="4" t="str">
        <f aca="false">IF(Worklogs!A187="","",DATEVALUE(LEFT(Worklogs!E187,10)))</f>
        <v/>
      </c>
    </row>
    <row r="188" customFormat="false" ht="15" hidden="false" customHeight="false" outlineLevel="0" collapsed="false">
      <c r="A188" s="2" t="str">
        <f aca="false">IF(Worklogs!A188="","",Worklogs!A188&amp;" "&amp;Worklogs!B188)</f>
        <v/>
      </c>
      <c r="B188" s="3" t="str">
        <f aca="false">IF(Worklogs!A188="","",INT(ROUND(Worklogs!D188/60,0)/60))</f>
        <v/>
      </c>
      <c r="C188" s="3" t="str">
        <f aca="false">IF(Worklogs!A188="","",MOD(ROUND(Worklogs!D188/60,0),60))</f>
        <v/>
      </c>
      <c r="D188" s="4" t="str">
        <f aca="false">IF(Worklogs!A188="","",DATEVALUE(LEFT(Worklogs!E188,10)))</f>
        <v/>
      </c>
    </row>
    <row r="189" customFormat="false" ht="15" hidden="false" customHeight="false" outlineLevel="0" collapsed="false">
      <c r="A189" s="2" t="str">
        <f aca="false">IF(Worklogs!A189="","",Worklogs!A189&amp;" "&amp;Worklogs!B189)</f>
        <v/>
      </c>
      <c r="B189" s="3" t="str">
        <f aca="false">IF(Worklogs!A189="","",INT(ROUND(Worklogs!D189/60,0)/60))</f>
        <v/>
      </c>
      <c r="C189" s="3" t="str">
        <f aca="false">IF(Worklogs!A189="","",MOD(ROUND(Worklogs!D189/60,0),60))</f>
        <v/>
      </c>
      <c r="D189" s="4" t="str">
        <f aca="false">IF(Worklogs!A189="","",DATEVALUE(LEFT(Worklogs!E189,10)))</f>
        <v/>
      </c>
    </row>
    <row r="190" customFormat="false" ht="15" hidden="false" customHeight="false" outlineLevel="0" collapsed="false">
      <c r="A190" s="2" t="str">
        <f aca="false">IF(Worklogs!A190="","",Worklogs!A190&amp;" "&amp;Worklogs!B190)</f>
        <v/>
      </c>
      <c r="B190" s="3" t="str">
        <f aca="false">IF(Worklogs!A190="","",INT(ROUND(Worklogs!D190/60,0)/60))</f>
        <v/>
      </c>
      <c r="C190" s="3" t="str">
        <f aca="false">IF(Worklogs!A190="","",MOD(ROUND(Worklogs!D190/60,0),60))</f>
        <v/>
      </c>
      <c r="D190" s="4" t="str">
        <f aca="false">IF(Worklogs!A190="","",DATEVALUE(LEFT(Worklogs!E190,10)))</f>
        <v/>
      </c>
    </row>
    <row r="191" customFormat="false" ht="15" hidden="false" customHeight="false" outlineLevel="0" collapsed="false">
      <c r="A191" s="2" t="str">
        <f aca="false">IF(Worklogs!A191="","",Worklogs!A191&amp;" "&amp;Worklogs!B191)</f>
        <v/>
      </c>
      <c r="B191" s="3" t="str">
        <f aca="false">IF(Worklogs!A191="","",INT(ROUND(Worklogs!D191/60,0)/60))</f>
        <v/>
      </c>
      <c r="C191" s="3" t="str">
        <f aca="false">IF(Worklogs!A191="","",MOD(ROUND(Worklogs!D191/60,0),60))</f>
        <v/>
      </c>
      <c r="D191" s="4" t="str">
        <f aca="false">IF(Worklogs!A191="","",DATEVALUE(LEFT(Worklogs!E191,10)))</f>
        <v/>
      </c>
    </row>
    <row r="192" customFormat="false" ht="15" hidden="false" customHeight="false" outlineLevel="0" collapsed="false">
      <c r="A192" s="2" t="str">
        <f aca="false">IF(Worklogs!A192="","",Worklogs!A192&amp;" "&amp;Worklogs!B192)</f>
        <v/>
      </c>
      <c r="B192" s="3" t="str">
        <f aca="false">IF(Worklogs!A192="","",INT(ROUND(Worklogs!D192/60,0)/60))</f>
        <v/>
      </c>
      <c r="C192" s="3" t="str">
        <f aca="false">IF(Worklogs!A192="","",MOD(ROUND(Worklogs!D192/60,0),60))</f>
        <v/>
      </c>
      <c r="D192" s="4" t="str">
        <f aca="false">IF(Worklogs!A192="","",DATEVALUE(LEFT(Worklogs!E192,10)))</f>
        <v/>
      </c>
    </row>
    <row r="193" customFormat="false" ht="15" hidden="false" customHeight="false" outlineLevel="0" collapsed="false">
      <c r="A193" s="2" t="str">
        <f aca="false">IF(Worklogs!A193="","",Worklogs!A193&amp;" "&amp;Worklogs!B193)</f>
        <v/>
      </c>
      <c r="B193" s="3" t="str">
        <f aca="false">IF(Worklogs!A193="","",INT(ROUND(Worklogs!D193/60,0)/60))</f>
        <v/>
      </c>
      <c r="C193" s="3" t="str">
        <f aca="false">IF(Worklogs!A193="","",MOD(ROUND(Worklogs!D193/60,0),60))</f>
        <v/>
      </c>
      <c r="D193" s="4" t="str">
        <f aca="false">IF(Worklogs!A193="","",DATEVALUE(LEFT(Worklogs!E193,10)))</f>
        <v/>
      </c>
    </row>
    <row r="194" customFormat="false" ht="15" hidden="false" customHeight="false" outlineLevel="0" collapsed="false">
      <c r="A194" s="2" t="str">
        <f aca="false">IF(Worklogs!A194="","",Worklogs!A194&amp;" "&amp;Worklogs!B194)</f>
        <v/>
      </c>
      <c r="B194" s="3" t="str">
        <f aca="false">IF(Worklogs!A194="","",INT(ROUND(Worklogs!D194/60,0)/60))</f>
        <v/>
      </c>
      <c r="C194" s="3" t="str">
        <f aca="false">IF(Worklogs!A194="","",MOD(ROUND(Worklogs!D194/60,0),60))</f>
        <v/>
      </c>
      <c r="D194" s="4" t="str">
        <f aca="false">IF(Worklogs!A194="","",DATEVALUE(LEFT(Worklogs!E194,10)))</f>
        <v/>
      </c>
    </row>
    <row r="195" customFormat="false" ht="15" hidden="false" customHeight="false" outlineLevel="0" collapsed="false">
      <c r="A195" s="2" t="str">
        <f aca="false">IF(Worklogs!A195="","",Worklogs!A195&amp;" "&amp;Worklogs!B195)</f>
        <v/>
      </c>
      <c r="B195" s="3" t="str">
        <f aca="false">IF(Worklogs!A195="","",INT(ROUND(Worklogs!D195/60,0)/60))</f>
        <v/>
      </c>
      <c r="C195" s="3" t="str">
        <f aca="false">IF(Worklogs!A195="","",MOD(ROUND(Worklogs!D195/60,0),60))</f>
        <v/>
      </c>
      <c r="D195" s="4" t="str">
        <f aca="false">IF(Worklogs!A195="","",DATEVALUE(LEFT(Worklogs!E195,10)))</f>
        <v/>
      </c>
    </row>
    <row r="196" customFormat="false" ht="15" hidden="false" customHeight="false" outlineLevel="0" collapsed="false">
      <c r="A196" s="2" t="str">
        <f aca="false">IF(Worklogs!A196="","",Worklogs!A196&amp;" "&amp;Worklogs!B196)</f>
        <v/>
      </c>
      <c r="B196" s="3" t="str">
        <f aca="false">IF(Worklogs!A196="","",INT(ROUND(Worklogs!D196/60,0)/60))</f>
        <v/>
      </c>
      <c r="C196" s="3" t="str">
        <f aca="false">IF(Worklogs!A196="","",MOD(ROUND(Worklogs!D196/60,0),60))</f>
        <v/>
      </c>
      <c r="D196" s="4" t="str">
        <f aca="false">IF(Worklogs!A196="","",DATEVALUE(LEFT(Worklogs!E196,10)))</f>
        <v/>
      </c>
    </row>
    <row r="197" customFormat="false" ht="15" hidden="false" customHeight="false" outlineLevel="0" collapsed="false">
      <c r="A197" s="2" t="str">
        <f aca="false">IF(Worklogs!A197="","",Worklogs!A197&amp;" "&amp;Worklogs!B197)</f>
        <v/>
      </c>
      <c r="B197" s="3" t="str">
        <f aca="false">IF(Worklogs!A197="","",INT(ROUND(Worklogs!D197/60,0)/60))</f>
        <v/>
      </c>
      <c r="C197" s="3" t="str">
        <f aca="false">IF(Worklogs!A197="","",MOD(ROUND(Worklogs!D197/60,0),60))</f>
        <v/>
      </c>
      <c r="D197" s="4" t="str">
        <f aca="false">IF(Worklogs!A197="","",DATEVALUE(LEFT(Worklogs!E197,10)))</f>
        <v/>
      </c>
    </row>
    <row r="198" customFormat="false" ht="15" hidden="false" customHeight="false" outlineLevel="0" collapsed="false">
      <c r="A198" s="2" t="str">
        <f aca="false">IF(Worklogs!A198="","",Worklogs!A198&amp;" "&amp;Worklogs!B198)</f>
        <v/>
      </c>
      <c r="B198" s="3" t="str">
        <f aca="false">IF(Worklogs!A198="","",INT(ROUND(Worklogs!D198/60,0)/60))</f>
        <v/>
      </c>
      <c r="C198" s="3" t="str">
        <f aca="false">IF(Worklogs!A198="","",MOD(ROUND(Worklogs!D198/60,0),60))</f>
        <v/>
      </c>
      <c r="D198" s="4" t="str">
        <f aca="false">IF(Worklogs!A198="","",DATEVALUE(LEFT(Worklogs!E198,10)))</f>
        <v/>
      </c>
    </row>
    <row r="199" customFormat="false" ht="15" hidden="false" customHeight="false" outlineLevel="0" collapsed="false">
      <c r="A199" s="2" t="str">
        <f aca="false">IF(Worklogs!A199="","",Worklogs!A199&amp;" "&amp;Worklogs!B199)</f>
        <v/>
      </c>
      <c r="B199" s="3" t="str">
        <f aca="false">IF(Worklogs!A199="","",INT(ROUND(Worklogs!D199/60,0)/60))</f>
        <v/>
      </c>
      <c r="C199" s="3" t="str">
        <f aca="false">IF(Worklogs!A199="","",MOD(ROUND(Worklogs!D199/60,0),60))</f>
        <v/>
      </c>
      <c r="D199" s="4" t="str">
        <f aca="false">IF(Worklogs!A199="","",DATEVALUE(LEFT(Worklogs!E199,10)))</f>
        <v/>
      </c>
    </row>
    <row r="200" customFormat="false" ht="15" hidden="false" customHeight="false" outlineLevel="0" collapsed="false">
      <c r="A200" s="2" t="str">
        <f aca="false">IF(Worklogs!A200="","",Worklogs!A200&amp;" "&amp;Worklogs!B200)</f>
        <v/>
      </c>
      <c r="B200" s="3" t="str">
        <f aca="false">IF(Worklogs!A200="","",INT(ROUND(Worklogs!D200/60,0)/60))</f>
        <v/>
      </c>
      <c r="C200" s="3" t="str">
        <f aca="false">IF(Worklogs!A200="","",MOD(ROUND(Worklogs!D200/60,0),60))</f>
        <v/>
      </c>
      <c r="D200" s="4" t="str">
        <f aca="false">IF(Worklogs!A200="","",DATEVALUE(LEFT(Worklogs!E200,10)))</f>
        <v/>
      </c>
    </row>
    <row r="201" customFormat="false" ht="15" hidden="false" customHeight="false" outlineLevel="0" collapsed="false">
      <c r="A201" s="2" t="str">
        <f aca="false">IF(Worklogs!A201="","",Worklogs!A201&amp;" "&amp;Worklogs!B201)</f>
        <v/>
      </c>
      <c r="B201" s="3" t="str">
        <f aca="false">IF(Worklogs!A201="","",INT(ROUND(Worklogs!D201/60,0)/60))</f>
        <v/>
      </c>
      <c r="C201" s="3" t="str">
        <f aca="false">IF(Worklogs!A201="","",MOD(ROUND(Worklogs!D201/60,0),60))</f>
        <v/>
      </c>
      <c r="D201" s="4" t="str">
        <f aca="false">IF(Worklogs!A201="","",DATEVALUE(LEFT(Worklogs!E201,10)))</f>
        <v/>
      </c>
    </row>
    <row r="202" customFormat="false" ht="15" hidden="false" customHeight="false" outlineLevel="0" collapsed="false">
      <c r="A202" s="2" t="str">
        <f aca="false">IF(Worklogs!A202="","",Worklogs!A202&amp;" "&amp;Worklogs!B202)</f>
        <v/>
      </c>
      <c r="B202" s="3" t="str">
        <f aca="false">IF(Worklogs!A202="","",INT(ROUND(Worklogs!D202/60,0)/60))</f>
        <v/>
      </c>
      <c r="C202" s="3" t="str">
        <f aca="false">IF(Worklogs!A202="","",MOD(ROUND(Worklogs!D202/60,0),60))</f>
        <v/>
      </c>
      <c r="D202" s="4" t="str">
        <f aca="false">IF(Worklogs!A202="","",DATEVALUE(LEFT(Worklogs!E202,10)))</f>
        <v/>
      </c>
    </row>
    <row r="203" customFormat="false" ht="15" hidden="false" customHeight="false" outlineLevel="0" collapsed="false">
      <c r="A203" s="2" t="str">
        <f aca="false">IF(Worklogs!A203="","",Worklogs!A203&amp;" "&amp;Worklogs!B203)</f>
        <v/>
      </c>
      <c r="B203" s="3" t="str">
        <f aca="false">IF(Worklogs!A203="","",INT(ROUND(Worklogs!D203/60,0)/60))</f>
        <v/>
      </c>
      <c r="C203" s="3" t="str">
        <f aca="false">IF(Worklogs!A203="","",MOD(ROUND(Worklogs!D203/60,0),60))</f>
        <v/>
      </c>
      <c r="D203" s="4" t="str">
        <f aca="false">IF(Worklogs!A203="","",DATEVALUE(LEFT(Worklogs!E203,10)))</f>
        <v/>
      </c>
    </row>
    <row r="204" customFormat="false" ht="15" hidden="false" customHeight="false" outlineLevel="0" collapsed="false">
      <c r="A204" s="2" t="str">
        <f aca="false">IF(Worklogs!A204="","",Worklogs!A204&amp;" "&amp;Worklogs!B204)</f>
        <v/>
      </c>
      <c r="B204" s="3" t="str">
        <f aca="false">IF(Worklogs!A204="","",INT(ROUND(Worklogs!D204/60,0)/60))</f>
        <v/>
      </c>
      <c r="C204" s="3" t="str">
        <f aca="false">IF(Worklogs!A204="","",MOD(ROUND(Worklogs!D204/60,0),60))</f>
        <v/>
      </c>
      <c r="D204" s="4" t="str">
        <f aca="false">IF(Worklogs!A204="","",DATEVALUE(LEFT(Worklogs!E204,10)))</f>
        <v/>
      </c>
    </row>
    <row r="205" customFormat="false" ht="15" hidden="false" customHeight="false" outlineLevel="0" collapsed="false">
      <c r="A205" s="2" t="str">
        <f aca="false">IF(Worklogs!A205="","",Worklogs!A205&amp;" "&amp;Worklogs!B205)</f>
        <v/>
      </c>
      <c r="B205" s="3" t="str">
        <f aca="false">IF(Worklogs!A205="","",INT(ROUND(Worklogs!D205/60,0)/60))</f>
        <v/>
      </c>
      <c r="C205" s="3" t="str">
        <f aca="false">IF(Worklogs!A205="","",MOD(ROUND(Worklogs!D205/60,0),60))</f>
        <v/>
      </c>
      <c r="D205" s="4" t="str">
        <f aca="false">IF(Worklogs!A205="","",DATEVALUE(LEFT(Worklogs!E205,10)))</f>
        <v/>
      </c>
    </row>
    <row r="206" customFormat="false" ht="15" hidden="false" customHeight="false" outlineLevel="0" collapsed="false">
      <c r="A206" s="2" t="str">
        <f aca="false">IF(Worklogs!A206="","",Worklogs!A206&amp;" "&amp;Worklogs!B206)</f>
        <v/>
      </c>
      <c r="B206" s="3" t="str">
        <f aca="false">IF(Worklogs!A206="","",INT(ROUND(Worklogs!D206/60,0)/60))</f>
        <v/>
      </c>
      <c r="C206" s="3" t="str">
        <f aca="false">IF(Worklogs!A206="","",MOD(ROUND(Worklogs!D206/60,0),60))</f>
        <v/>
      </c>
      <c r="D206" s="4" t="str">
        <f aca="false">IF(Worklogs!A206="","",DATEVALUE(LEFT(Worklogs!E206,10)))</f>
        <v/>
      </c>
    </row>
    <row r="207" customFormat="false" ht="15" hidden="false" customHeight="false" outlineLevel="0" collapsed="false">
      <c r="A207" s="2" t="str">
        <f aca="false">IF(Worklogs!A207="","",Worklogs!A207&amp;" "&amp;Worklogs!B207)</f>
        <v/>
      </c>
      <c r="B207" s="3" t="str">
        <f aca="false">IF(Worklogs!A207="","",INT(ROUND(Worklogs!D207/60,0)/60))</f>
        <v/>
      </c>
      <c r="C207" s="3" t="str">
        <f aca="false">IF(Worklogs!A207="","",MOD(ROUND(Worklogs!D207/60,0),60))</f>
        <v/>
      </c>
      <c r="D207" s="4" t="str">
        <f aca="false">IF(Worklogs!A207="","",DATEVALUE(LEFT(Worklogs!E207,10)))</f>
        <v/>
      </c>
    </row>
    <row r="208" customFormat="false" ht="15" hidden="false" customHeight="false" outlineLevel="0" collapsed="false">
      <c r="A208" s="2" t="str">
        <f aca="false">IF(Worklogs!A208="","",Worklogs!A208&amp;" "&amp;Worklogs!B208)</f>
        <v/>
      </c>
      <c r="B208" s="3" t="str">
        <f aca="false">IF(Worklogs!A208="","",INT(ROUND(Worklogs!D208/60,0)/60))</f>
        <v/>
      </c>
      <c r="C208" s="3" t="str">
        <f aca="false">IF(Worklogs!A208="","",MOD(ROUND(Worklogs!D208/60,0),60))</f>
        <v/>
      </c>
      <c r="D208" s="4" t="str">
        <f aca="false">IF(Worklogs!A208="","",DATEVALUE(LEFT(Worklogs!E208,10)))</f>
        <v/>
      </c>
    </row>
    <row r="209" customFormat="false" ht="15" hidden="false" customHeight="false" outlineLevel="0" collapsed="false">
      <c r="A209" s="2" t="str">
        <f aca="false">IF(Worklogs!A209="","",Worklogs!A209&amp;" "&amp;Worklogs!B209)</f>
        <v/>
      </c>
      <c r="B209" s="3" t="str">
        <f aca="false">IF(Worklogs!A209="","",INT(ROUND(Worklogs!D209/60,0)/60))</f>
        <v/>
      </c>
      <c r="C209" s="3" t="str">
        <f aca="false">IF(Worklogs!A209="","",MOD(ROUND(Worklogs!D209/60,0),60))</f>
        <v/>
      </c>
      <c r="D209" s="4" t="str">
        <f aca="false">IF(Worklogs!A209="","",DATEVALUE(LEFT(Worklogs!E209,10)))</f>
        <v/>
      </c>
    </row>
    <row r="210" customFormat="false" ht="15" hidden="false" customHeight="false" outlineLevel="0" collapsed="false">
      <c r="A210" s="2" t="str">
        <f aca="false">IF(Worklogs!A210="","",Worklogs!A210&amp;" "&amp;Worklogs!B210)</f>
        <v/>
      </c>
      <c r="B210" s="3" t="str">
        <f aca="false">IF(Worklogs!A210="","",INT(ROUND(Worklogs!D210/60,0)/60))</f>
        <v/>
      </c>
      <c r="C210" s="3" t="str">
        <f aca="false">IF(Worklogs!A210="","",MOD(ROUND(Worklogs!D210/60,0),60))</f>
        <v/>
      </c>
      <c r="D210" s="4" t="str">
        <f aca="false">IF(Worklogs!A210="","",DATEVALUE(LEFT(Worklogs!E210,10)))</f>
        <v/>
      </c>
    </row>
    <row r="211" customFormat="false" ht="15" hidden="false" customHeight="false" outlineLevel="0" collapsed="false">
      <c r="A211" s="2" t="str">
        <f aca="false">IF(Worklogs!A211="","",Worklogs!A211&amp;" "&amp;Worklogs!B211)</f>
        <v/>
      </c>
      <c r="B211" s="3" t="str">
        <f aca="false">IF(Worklogs!A211="","",INT(ROUND(Worklogs!D211/60,0)/60))</f>
        <v/>
      </c>
      <c r="C211" s="3" t="str">
        <f aca="false">IF(Worklogs!A211="","",MOD(ROUND(Worklogs!D211/60,0),60))</f>
        <v/>
      </c>
      <c r="D211" s="4" t="str">
        <f aca="false">IF(Worklogs!A211="","",DATEVALUE(LEFT(Worklogs!E211,10)))</f>
        <v/>
      </c>
    </row>
    <row r="212" customFormat="false" ht="15" hidden="false" customHeight="false" outlineLevel="0" collapsed="false">
      <c r="A212" s="2" t="str">
        <f aca="false">IF(Worklogs!A212="","",Worklogs!A212&amp;" "&amp;Worklogs!B212)</f>
        <v/>
      </c>
      <c r="B212" s="3" t="str">
        <f aca="false">IF(Worklogs!A212="","",INT(ROUND(Worklogs!D212/60,0)/60))</f>
        <v/>
      </c>
      <c r="C212" s="3" t="str">
        <f aca="false">IF(Worklogs!A212="","",MOD(ROUND(Worklogs!D212/60,0),60))</f>
        <v/>
      </c>
      <c r="D212" s="4" t="str">
        <f aca="false">IF(Worklogs!A212="","",DATEVALUE(LEFT(Worklogs!E212,10)))</f>
        <v/>
      </c>
    </row>
    <row r="213" customFormat="false" ht="15" hidden="false" customHeight="false" outlineLevel="0" collapsed="false">
      <c r="A213" s="2" t="str">
        <f aca="false">IF(Worklogs!A213="","",Worklogs!A213&amp;" "&amp;Worklogs!B213)</f>
        <v/>
      </c>
      <c r="B213" s="3" t="str">
        <f aca="false">IF(Worklogs!A213="","",INT(ROUND(Worklogs!D213/60,0)/60))</f>
        <v/>
      </c>
      <c r="C213" s="3" t="str">
        <f aca="false">IF(Worklogs!A213="","",MOD(ROUND(Worklogs!D213/60,0),60))</f>
        <v/>
      </c>
      <c r="D213" s="4" t="str">
        <f aca="false">IF(Worklogs!A213="","",DATEVALUE(LEFT(Worklogs!E213,10)))</f>
        <v/>
      </c>
    </row>
    <row r="214" customFormat="false" ht="15" hidden="false" customHeight="false" outlineLevel="0" collapsed="false">
      <c r="A214" s="2" t="str">
        <f aca="false">IF(Worklogs!A214="","",Worklogs!A214&amp;" "&amp;Worklogs!B214)</f>
        <v/>
      </c>
      <c r="B214" s="3" t="str">
        <f aca="false">IF(Worklogs!A214="","",INT(ROUND(Worklogs!D214/60,0)/60))</f>
        <v/>
      </c>
      <c r="C214" s="3" t="str">
        <f aca="false">IF(Worklogs!A214="","",MOD(ROUND(Worklogs!D214/60,0),60))</f>
        <v/>
      </c>
      <c r="D214" s="4" t="str">
        <f aca="false">IF(Worklogs!A214="","",DATEVALUE(LEFT(Worklogs!E214,10)))</f>
        <v/>
      </c>
    </row>
    <row r="215" customFormat="false" ht="15" hidden="false" customHeight="false" outlineLevel="0" collapsed="false">
      <c r="A215" s="2" t="str">
        <f aca="false">IF(Worklogs!A215="","",Worklogs!A215&amp;" "&amp;Worklogs!B215)</f>
        <v/>
      </c>
      <c r="B215" s="3" t="str">
        <f aca="false">IF(Worklogs!A215="","",INT(ROUND(Worklogs!D215/60,0)/60))</f>
        <v/>
      </c>
      <c r="C215" s="3" t="str">
        <f aca="false">IF(Worklogs!A215="","",MOD(ROUND(Worklogs!D215/60,0),60))</f>
        <v/>
      </c>
      <c r="D215" s="4" t="str">
        <f aca="false">IF(Worklogs!A215="","",DATEVALUE(LEFT(Worklogs!E215,10)))</f>
        <v/>
      </c>
    </row>
    <row r="216" customFormat="false" ht="15" hidden="false" customHeight="false" outlineLevel="0" collapsed="false">
      <c r="A216" s="2" t="str">
        <f aca="false">IF(Worklogs!A216="","",Worklogs!A216&amp;" "&amp;Worklogs!B216)</f>
        <v/>
      </c>
      <c r="B216" s="3" t="str">
        <f aca="false">IF(Worklogs!A216="","",INT(ROUND(Worklogs!D216/60,0)/60))</f>
        <v/>
      </c>
      <c r="C216" s="3" t="str">
        <f aca="false">IF(Worklogs!A216="","",MOD(ROUND(Worklogs!D216/60,0),60))</f>
        <v/>
      </c>
      <c r="D216" s="4" t="str">
        <f aca="false">IF(Worklogs!A216="","",DATEVALUE(LEFT(Worklogs!E216,10)))</f>
        <v/>
      </c>
    </row>
    <row r="217" customFormat="false" ht="15" hidden="false" customHeight="false" outlineLevel="0" collapsed="false">
      <c r="A217" s="2" t="str">
        <f aca="false">IF(Worklogs!A217="","",Worklogs!A217&amp;" "&amp;Worklogs!B217)</f>
        <v/>
      </c>
      <c r="B217" s="3" t="str">
        <f aca="false">IF(Worklogs!A217="","",INT(ROUND(Worklogs!D217/60,0)/60))</f>
        <v/>
      </c>
      <c r="C217" s="3" t="str">
        <f aca="false">IF(Worklogs!A217="","",MOD(ROUND(Worklogs!D217/60,0),60))</f>
        <v/>
      </c>
      <c r="D217" s="4" t="str">
        <f aca="false">IF(Worklogs!A217="","",DATEVALUE(LEFT(Worklogs!E217,10)))</f>
        <v/>
      </c>
    </row>
    <row r="218" customFormat="false" ht="15" hidden="false" customHeight="false" outlineLevel="0" collapsed="false">
      <c r="A218" s="2" t="str">
        <f aca="false">IF(Worklogs!A218="","",Worklogs!A218&amp;" "&amp;Worklogs!B218)</f>
        <v/>
      </c>
      <c r="B218" s="3" t="str">
        <f aca="false">IF(Worklogs!A218="","",INT(ROUND(Worklogs!D218/60,0)/60))</f>
        <v/>
      </c>
      <c r="C218" s="3" t="str">
        <f aca="false">IF(Worklogs!A218="","",MOD(ROUND(Worklogs!D218/60,0),60))</f>
        <v/>
      </c>
      <c r="D218" s="4" t="str">
        <f aca="false">IF(Worklogs!A218="","",DATEVALUE(LEFT(Worklogs!E218,10)))</f>
        <v/>
      </c>
    </row>
    <row r="219" customFormat="false" ht="15" hidden="false" customHeight="false" outlineLevel="0" collapsed="false">
      <c r="A219" s="2" t="str">
        <f aca="false">IF(Worklogs!A219="","",Worklogs!A219&amp;" "&amp;Worklogs!B219)</f>
        <v/>
      </c>
      <c r="B219" s="3" t="str">
        <f aca="false">IF(Worklogs!A219="","",INT(ROUND(Worklogs!D219/60,0)/60))</f>
        <v/>
      </c>
      <c r="C219" s="3" t="str">
        <f aca="false">IF(Worklogs!A219="","",MOD(ROUND(Worklogs!D219/60,0),60))</f>
        <v/>
      </c>
      <c r="D219" s="4" t="str">
        <f aca="false">IF(Worklogs!A219="","",DATEVALUE(LEFT(Worklogs!E219,10)))</f>
        <v/>
      </c>
    </row>
    <row r="220" customFormat="false" ht="15" hidden="false" customHeight="false" outlineLevel="0" collapsed="false">
      <c r="A220" s="2" t="str">
        <f aca="false">IF(Worklogs!A220="","",Worklogs!A220&amp;" "&amp;Worklogs!B220)</f>
        <v/>
      </c>
      <c r="B220" s="3" t="str">
        <f aca="false">IF(Worklogs!A220="","",INT(ROUND(Worklogs!D220/60,0)/60))</f>
        <v/>
      </c>
      <c r="C220" s="3" t="str">
        <f aca="false">IF(Worklogs!A220="","",MOD(ROUND(Worklogs!D220/60,0),60))</f>
        <v/>
      </c>
      <c r="D220" s="4" t="str">
        <f aca="false">IF(Worklogs!A220="","",DATEVALUE(LEFT(Worklogs!E220,10)))</f>
        <v/>
      </c>
    </row>
    <row r="221" customFormat="false" ht="15" hidden="false" customHeight="false" outlineLevel="0" collapsed="false">
      <c r="A221" s="2" t="str">
        <f aca="false">IF(Worklogs!A221="","",Worklogs!A221&amp;" "&amp;Worklogs!B221)</f>
        <v/>
      </c>
      <c r="B221" s="3" t="str">
        <f aca="false">IF(Worklogs!A221="","",INT(ROUND(Worklogs!D221/60,0)/60))</f>
        <v/>
      </c>
      <c r="C221" s="3" t="str">
        <f aca="false">IF(Worklogs!A221="","",MOD(ROUND(Worklogs!D221/60,0),60))</f>
        <v/>
      </c>
      <c r="D221" s="4" t="str">
        <f aca="false">IF(Worklogs!A221="","",DATEVALUE(LEFT(Worklogs!E221,10)))</f>
        <v/>
      </c>
    </row>
    <row r="222" customFormat="false" ht="15" hidden="false" customHeight="false" outlineLevel="0" collapsed="false">
      <c r="A222" s="2" t="str">
        <f aca="false">IF(Worklogs!A222="","",Worklogs!A222&amp;" "&amp;Worklogs!B222)</f>
        <v/>
      </c>
      <c r="B222" s="3" t="str">
        <f aca="false">IF(Worklogs!A222="","",INT(ROUND(Worklogs!D222/60,0)/60))</f>
        <v/>
      </c>
      <c r="C222" s="3" t="str">
        <f aca="false">IF(Worklogs!A222="","",MOD(ROUND(Worklogs!D222/60,0),60))</f>
        <v/>
      </c>
      <c r="D222" s="4" t="str">
        <f aca="false">IF(Worklogs!A222="","",DATEVALUE(LEFT(Worklogs!E222,10)))</f>
        <v/>
      </c>
    </row>
    <row r="223" customFormat="false" ht="15" hidden="false" customHeight="false" outlineLevel="0" collapsed="false">
      <c r="A223" s="2" t="str">
        <f aca="false">IF(Worklogs!A223="","",Worklogs!A223&amp;" "&amp;Worklogs!B223)</f>
        <v/>
      </c>
      <c r="B223" s="3" t="str">
        <f aca="false">IF(Worklogs!A223="","",INT(ROUND(Worklogs!D223/60,0)/60))</f>
        <v/>
      </c>
      <c r="C223" s="3" t="str">
        <f aca="false">IF(Worklogs!A223="","",MOD(ROUND(Worklogs!D223/60,0),60))</f>
        <v/>
      </c>
      <c r="D223" s="4" t="str">
        <f aca="false">IF(Worklogs!A223="","",DATEVALUE(LEFT(Worklogs!E223,10)))</f>
        <v/>
      </c>
    </row>
    <row r="224" customFormat="false" ht="15" hidden="false" customHeight="false" outlineLevel="0" collapsed="false">
      <c r="A224" s="2" t="str">
        <f aca="false">IF(Worklogs!A224="","",Worklogs!A224&amp;" "&amp;Worklogs!B224)</f>
        <v/>
      </c>
      <c r="B224" s="3" t="str">
        <f aca="false">IF(Worklogs!A224="","",INT(ROUND(Worklogs!D224/60,0)/60))</f>
        <v/>
      </c>
      <c r="C224" s="3" t="str">
        <f aca="false">IF(Worklogs!A224="","",MOD(ROUND(Worklogs!D224/60,0),60))</f>
        <v/>
      </c>
      <c r="D224" s="4" t="str">
        <f aca="false">IF(Worklogs!A224="","",DATEVALUE(LEFT(Worklogs!E224,10)))</f>
        <v/>
      </c>
    </row>
    <row r="225" customFormat="false" ht="15" hidden="false" customHeight="false" outlineLevel="0" collapsed="false">
      <c r="A225" s="2" t="str">
        <f aca="false">IF(Worklogs!A225="","",Worklogs!A225&amp;" "&amp;Worklogs!B225)</f>
        <v/>
      </c>
      <c r="B225" s="3" t="str">
        <f aca="false">IF(Worklogs!A225="","",INT(ROUND(Worklogs!D225/60,0)/60))</f>
        <v/>
      </c>
      <c r="C225" s="3" t="str">
        <f aca="false">IF(Worklogs!A225="","",MOD(ROUND(Worklogs!D225/60,0),60))</f>
        <v/>
      </c>
      <c r="D225" s="4" t="str">
        <f aca="false">IF(Worklogs!A225="","",DATEVALUE(LEFT(Worklogs!E225,10)))</f>
        <v/>
      </c>
    </row>
    <row r="226" customFormat="false" ht="15" hidden="false" customHeight="false" outlineLevel="0" collapsed="false">
      <c r="A226" s="2" t="str">
        <f aca="false">IF(Worklogs!A226="","",Worklogs!A226&amp;" "&amp;Worklogs!B226)</f>
        <v/>
      </c>
      <c r="B226" s="3" t="str">
        <f aca="false">IF(Worklogs!A226="","",INT(ROUND(Worklogs!D226/60,0)/60))</f>
        <v/>
      </c>
      <c r="C226" s="3" t="str">
        <f aca="false">IF(Worklogs!A226="","",MOD(ROUND(Worklogs!D226/60,0),60))</f>
        <v/>
      </c>
      <c r="D226" s="4" t="str">
        <f aca="false">IF(Worklogs!A226="","",DATEVALUE(LEFT(Worklogs!E226,10)))</f>
        <v/>
      </c>
    </row>
    <row r="227" customFormat="false" ht="15" hidden="false" customHeight="false" outlineLevel="0" collapsed="false">
      <c r="A227" s="2" t="str">
        <f aca="false">IF(Worklogs!A227="","",Worklogs!A227&amp;" "&amp;Worklogs!B227)</f>
        <v/>
      </c>
      <c r="B227" s="3" t="str">
        <f aca="false">IF(Worklogs!A227="","",INT(ROUND(Worklogs!D227/60,0)/60))</f>
        <v/>
      </c>
      <c r="C227" s="3" t="str">
        <f aca="false">IF(Worklogs!A227="","",MOD(ROUND(Worklogs!D227/60,0),60))</f>
        <v/>
      </c>
      <c r="D227" s="4" t="str">
        <f aca="false">IF(Worklogs!A227="","",DATEVALUE(LEFT(Worklogs!E227,10)))</f>
        <v/>
      </c>
    </row>
    <row r="228" customFormat="false" ht="15" hidden="false" customHeight="false" outlineLevel="0" collapsed="false">
      <c r="A228" s="2" t="str">
        <f aca="false">IF(Worklogs!A228="","",Worklogs!A228&amp;" "&amp;Worklogs!B228)</f>
        <v/>
      </c>
      <c r="B228" s="3" t="str">
        <f aca="false">IF(Worklogs!A228="","",INT(ROUND(Worklogs!D228/60,0)/60))</f>
        <v/>
      </c>
      <c r="C228" s="3" t="str">
        <f aca="false">IF(Worklogs!A228="","",MOD(ROUND(Worklogs!D228/60,0),60))</f>
        <v/>
      </c>
      <c r="D228" s="4" t="str">
        <f aca="false">IF(Worklogs!A228="","",DATEVALUE(LEFT(Worklogs!E228,10)))</f>
        <v/>
      </c>
    </row>
    <row r="229" customFormat="false" ht="15" hidden="false" customHeight="false" outlineLevel="0" collapsed="false">
      <c r="A229" s="2" t="str">
        <f aca="false">IF(Worklogs!A229="","",Worklogs!A229&amp;" "&amp;Worklogs!B229)</f>
        <v/>
      </c>
      <c r="B229" s="3" t="str">
        <f aca="false">IF(Worklogs!A229="","",INT(ROUND(Worklogs!D229/60,0)/60))</f>
        <v/>
      </c>
      <c r="C229" s="3" t="str">
        <f aca="false">IF(Worklogs!A229="","",MOD(ROUND(Worklogs!D229/60,0),60))</f>
        <v/>
      </c>
      <c r="D229" s="4" t="str">
        <f aca="false">IF(Worklogs!A229="","",DATEVALUE(LEFT(Worklogs!E229,10)))</f>
        <v/>
      </c>
    </row>
    <row r="230" customFormat="false" ht="15" hidden="false" customHeight="false" outlineLevel="0" collapsed="false">
      <c r="A230" s="2" t="str">
        <f aca="false">IF(Worklogs!A230="","",Worklogs!A230&amp;" "&amp;Worklogs!B230)</f>
        <v/>
      </c>
      <c r="B230" s="3" t="str">
        <f aca="false">IF(Worklogs!A230="","",INT(ROUND(Worklogs!D230/60,0)/60))</f>
        <v/>
      </c>
      <c r="C230" s="3" t="str">
        <f aca="false">IF(Worklogs!A230="","",MOD(ROUND(Worklogs!D230/60,0),60))</f>
        <v/>
      </c>
      <c r="D230" s="4" t="str">
        <f aca="false">IF(Worklogs!A230="","",DATEVALUE(LEFT(Worklogs!E230,10)))</f>
        <v/>
      </c>
    </row>
    <row r="231" customFormat="false" ht="15" hidden="false" customHeight="false" outlineLevel="0" collapsed="false">
      <c r="A231" s="2" t="str">
        <f aca="false">IF(Worklogs!A231="","",Worklogs!A231&amp;" "&amp;Worklogs!B231)</f>
        <v/>
      </c>
      <c r="B231" s="3" t="str">
        <f aca="false">IF(Worklogs!A231="","",INT(ROUND(Worklogs!D231/60,0)/60))</f>
        <v/>
      </c>
      <c r="C231" s="3" t="str">
        <f aca="false">IF(Worklogs!A231="","",MOD(ROUND(Worklogs!D231/60,0),60))</f>
        <v/>
      </c>
      <c r="D231" s="4" t="str">
        <f aca="false">IF(Worklogs!A231="","",DATEVALUE(LEFT(Worklogs!E231,10)))</f>
        <v/>
      </c>
    </row>
    <row r="232" customFormat="false" ht="15" hidden="false" customHeight="false" outlineLevel="0" collapsed="false">
      <c r="A232" s="2" t="str">
        <f aca="false">IF(Worklogs!A232="","",Worklogs!A232&amp;" "&amp;Worklogs!B232)</f>
        <v/>
      </c>
      <c r="B232" s="3" t="str">
        <f aca="false">IF(Worklogs!A232="","",INT(ROUND(Worklogs!D232/60,0)/60))</f>
        <v/>
      </c>
      <c r="C232" s="3" t="str">
        <f aca="false">IF(Worklogs!A232="","",MOD(ROUND(Worklogs!D232/60,0),60))</f>
        <v/>
      </c>
      <c r="D232" s="4" t="str">
        <f aca="false">IF(Worklogs!A232="","",DATEVALUE(LEFT(Worklogs!E232,10)))</f>
        <v/>
      </c>
    </row>
    <row r="233" customFormat="false" ht="15" hidden="false" customHeight="false" outlineLevel="0" collapsed="false">
      <c r="A233" s="2" t="str">
        <f aca="false">IF(Worklogs!A233="","",Worklogs!A233&amp;" "&amp;Worklogs!B233)</f>
        <v/>
      </c>
      <c r="B233" s="3" t="str">
        <f aca="false">IF(Worklogs!A233="","",INT(ROUND(Worklogs!D233/60,0)/60))</f>
        <v/>
      </c>
      <c r="C233" s="3" t="str">
        <f aca="false">IF(Worklogs!A233="","",MOD(ROUND(Worklogs!D233/60,0),60))</f>
        <v/>
      </c>
      <c r="D233" s="4" t="str">
        <f aca="false">IF(Worklogs!A233="","",DATEVALUE(LEFT(Worklogs!E233,10)))</f>
        <v/>
      </c>
    </row>
    <row r="234" customFormat="false" ht="15" hidden="false" customHeight="false" outlineLevel="0" collapsed="false">
      <c r="A234" s="2" t="str">
        <f aca="false">IF(Worklogs!A234="","",Worklogs!A234&amp;" "&amp;Worklogs!B234)</f>
        <v/>
      </c>
      <c r="B234" s="3" t="str">
        <f aca="false">IF(Worklogs!A234="","",INT(ROUND(Worklogs!D234/60,0)/60))</f>
        <v/>
      </c>
      <c r="C234" s="3" t="str">
        <f aca="false">IF(Worklogs!A234="","",MOD(ROUND(Worklogs!D234/60,0),60))</f>
        <v/>
      </c>
      <c r="D234" s="4" t="str">
        <f aca="false">IF(Worklogs!A234="","",DATEVALUE(LEFT(Worklogs!E234,10)))</f>
        <v/>
      </c>
    </row>
    <row r="235" customFormat="false" ht="15" hidden="false" customHeight="false" outlineLevel="0" collapsed="false">
      <c r="A235" s="2" t="str">
        <f aca="false">IF(Worklogs!A235="","",Worklogs!A235&amp;" "&amp;Worklogs!B235)</f>
        <v/>
      </c>
      <c r="B235" s="3" t="str">
        <f aca="false">IF(Worklogs!A235="","",INT(ROUND(Worklogs!D235/60,0)/60))</f>
        <v/>
      </c>
      <c r="C235" s="3" t="str">
        <f aca="false">IF(Worklogs!A235="","",MOD(ROUND(Worklogs!D235/60,0),60))</f>
        <v/>
      </c>
      <c r="D235" s="4" t="str">
        <f aca="false">IF(Worklogs!A235="","",DATEVALUE(LEFT(Worklogs!E235,10)))</f>
        <v/>
      </c>
    </row>
    <row r="236" customFormat="false" ht="15" hidden="false" customHeight="false" outlineLevel="0" collapsed="false">
      <c r="A236" s="2" t="str">
        <f aca="false">IF(Worklogs!A236="","",Worklogs!A236&amp;" "&amp;Worklogs!B236)</f>
        <v/>
      </c>
      <c r="B236" s="3" t="str">
        <f aca="false">IF(Worklogs!A236="","",INT(ROUND(Worklogs!D236/60,0)/60))</f>
        <v/>
      </c>
      <c r="C236" s="3" t="str">
        <f aca="false">IF(Worklogs!A236="","",MOD(ROUND(Worklogs!D236/60,0),60))</f>
        <v/>
      </c>
      <c r="D236" s="4" t="str">
        <f aca="false">IF(Worklogs!A236="","",DATEVALUE(LEFT(Worklogs!E236,10)))</f>
        <v/>
      </c>
    </row>
    <row r="237" customFormat="false" ht="15" hidden="false" customHeight="false" outlineLevel="0" collapsed="false">
      <c r="A237" s="2" t="str">
        <f aca="false">IF(Worklogs!A237="","",Worklogs!A237&amp;" "&amp;Worklogs!B237)</f>
        <v/>
      </c>
      <c r="B237" s="3" t="str">
        <f aca="false">IF(Worklogs!A237="","",INT(ROUND(Worklogs!D237/60,0)/60))</f>
        <v/>
      </c>
      <c r="C237" s="3" t="str">
        <f aca="false">IF(Worklogs!A237="","",MOD(ROUND(Worklogs!D237/60,0),60))</f>
        <v/>
      </c>
      <c r="D237" s="4" t="str">
        <f aca="false">IF(Worklogs!A237="","",DATEVALUE(LEFT(Worklogs!E237,10)))</f>
        <v/>
      </c>
    </row>
    <row r="238" customFormat="false" ht="15" hidden="false" customHeight="false" outlineLevel="0" collapsed="false">
      <c r="A238" s="2" t="str">
        <f aca="false">IF(Worklogs!A238="","",Worklogs!A238&amp;" "&amp;Worklogs!B238)</f>
        <v/>
      </c>
      <c r="B238" s="3" t="str">
        <f aca="false">IF(Worklogs!A238="","",INT(ROUND(Worklogs!D238/60,0)/60))</f>
        <v/>
      </c>
      <c r="C238" s="3" t="str">
        <f aca="false">IF(Worklogs!A238="","",MOD(ROUND(Worklogs!D238/60,0),60))</f>
        <v/>
      </c>
      <c r="D238" s="4" t="str">
        <f aca="false">IF(Worklogs!A238="","",DATEVALUE(LEFT(Worklogs!E238,10)))</f>
        <v/>
      </c>
    </row>
    <row r="239" customFormat="false" ht="15" hidden="false" customHeight="false" outlineLevel="0" collapsed="false">
      <c r="A239" s="2" t="str">
        <f aca="false">IF(Worklogs!A239="","",Worklogs!A239&amp;" "&amp;Worklogs!B239)</f>
        <v/>
      </c>
      <c r="B239" s="3" t="str">
        <f aca="false">IF(Worklogs!A239="","",INT(ROUND(Worklogs!D239/60,0)/60))</f>
        <v/>
      </c>
      <c r="C239" s="3" t="str">
        <f aca="false">IF(Worklogs!A239="","",MOD(ROUND(Worklogs!D239/60,0),60))</f>
        <v/>
      </c>
      <c r="D239" s="4" t="str">
        <f aca="false">IF(Worklogs!A239="","",DATEVALUE(LEFT(Worklogs!E239,10)))</f>
        <v/>
      </c>
    </row>
    <row r="240" customFormat="false" ht="15" hidden="false" customHeight="false" outlineLevel="0" collapsed="false">
      <c r="A240" s="2" t="str">
        <f aca="false">IF(Worklogs!A240="","",Worklogs!A240&amp;" "&amp;Worklogs!B240)</f>
        <v/>
      </c>
      <c r="B240" s="3" t="str">
        <f aca="false">IF(Worklogs!A240="","",INT(ROUND(Worklogs!D240/60,0)/60))</f>
        <v/>
      </c>
      <c r="C240" s="3" t="str">
        <f aca="false">IF(Worklogs!A240="","",MOD(ROUND(Worklogs!D240/60,0),60))</f>
        <v/>
      </c>
      <c r="D240" s="4" t="str">
        <f aca="false">IF(Worklogs!A240="","",DATEVALUE(LEFT(Worklogs!E240,10)))</f>
        <v/>
      </c>
    </row>
    <row r="241" customFormat="false" ht="15" hidden="false" customHeight="false" outlineLevel="0" collapsed="false">
      <c r="A241" s="2" t="str">
        <f aca="false">IF(Worklogs!A241="","",Worklogs!A241&amp;" "&amp;Worklogs!B241)</f>
        <v/>
      </c>
      <c r="B241" s="3" t="str">
        <f aca="false">IF(Worklogs!A241="","",INT(ROUND(Worklogs!D241/60,0)/60))</f>
        <v/>
      </c>
      <c r="C241" s="3" t="str">
        <f aca="false">IF(Worklogs!A241="","",MOD(ROUND(Worklogs!D241/60,0),60))</f>
        <v/>
      </c>
      <c r="D241" s="4" t="str">
        <f aca="false">IF(Worklogs!A241="","",DATEVALUE(LEFT(Worklogs!E241,10)))</f>
        <v/>
      </c>
    </row>
    <row r="242" customFormat="false" ht="15" hidden="false" customHeight="false" outlineLevel="0" collapsed="false">
      <c r="A242" s="2" t="str">
        <f aca="false">IF(Worklogs!A242="","",Worklogs!A242&amp;" "&amp;Worklogs!B242)</f>
        <v/>
      </c>
      <c r="B242" s="3" t="str">
        <f aca="false">IF(Worklogs!A242="","",INT(ROUND(Worklogs!D242/60,0)/60))</f>
        <v/>
      </c>
      <c r="C242" s="3" t="str">
        <f aca="false">IF(Worklogs!A242="","",MOD(ROUND(Worklogs!D242/60,0),60))</f>
        <v/>
      </c>
      <c r="D242" s="4" t="str">
        <f aca="false">IF(Worklogs!A242="","",DATEVALUE(LEFT(Worklogs!E242,10)))</f>
        <v/>
      </c>
    </row>
    <row r="243" customFormat="false" ht="15" hidden="false" customHeight="false" outlineLevel="0" collapsed="false">
      <c r="A243" s="2" t="str">
        <f aca="false">IF(Worklogs!A243="","",Worklogs!A243&amp;" "&amp;Worklogs!B243)</f>
        <v/>
      </c>
      <c r="B243" s="3" t="str">
        <f aca="false">IF(Worklogs!A243="","",INT(ROUND(Worklogs!D243/60,0)/60))</f>
        <v/>
      </c>
      <c r="C243" s="3" t="str">
        <f aca="false">IF(Worklogs!A243="","",MOD(ROUND(Worklogs!D243/60,0),60))</f>
        <v/>
      </c>
      <c r="D243" s="4" t="str">
        <f aca="false">IF(Worklogs!A243="","",DATEVALUE(LEFT(Worklogs!E243,10)))</f>
        <v/>
      </c>
    </row>
    <row r="244" customFormat="false" ht="15" hidden="false" customHeight="false" outlineLevel="0" collapsed="false">
      <c r="A244" s="2" t="str">
        <f aca="false">IF(Worklogs!A244="","",Worklogs!A244&amp;" "&amp;Worklogs!B244)</f>
        <v/>
      </c>
      <c r="B244" s="3" t="str">
        <f aca="false">IF(Worklogs!A244="","",INT(ROUND(Worklogs!D244/60,0)/60))</f>
        <v/>
      </c>
      <c r="C244" s="3" t="str">
        <f aca="false">IF(Worklogs!A244="","",MOD(ROUND(Worklogs!D244/60,0),60))</f>
        <v/>
      </c>
      <c r="D244" s="4" t="str">
        <f aca="false">IF(Worklogs!A244="","",DATEVALUE(LEFT(Worklogs!E244,10)))</f>
        <v/>
      </c>
    </row>
    <row r="245" customFormat="false" ht="15" hidden="false" customHeight="false" outlineLevel="0" collapsed="false">
      <c r="A245" s="2" t="str">
        <f aca="false">IF(Worklogs!A245="","",Worklogs!A245&amp;" "&amp;Worklogs!B245)</f>
        <v/>
      </c>
      <c r="B245" s="3" t="str">
        <f aca="false">IF(Worklogs!A245="","",INT(ROUND(Worklogs!D245/60,0)/60))</f>
        <v/>
      </c>
      <c r="C245" s="3" t="str">
        <f aca="false">IF(Worklogs!A245="","",MOD(ROUND(Worklogs!D245/60,0),60))</f>
        <v/>
      </c>
      <c r="D245" s="4" t="str">
        <f aca="false">IF(Worklogs!A245="","",DATEVALUE(LEFT(Worklogs!E245,10)))</f>
        <v/>
      </c>
    </row>
    <row r="246" customFormat="false" ht="15" hidden="false" customHeight="false" outlineLevel="0" collapsed="false">
      <c r="A246" s="2" t="str">
        <f aca="false">IF(Worklogs!A246="","",Worklogs!A246&amp;" "&amp;Worklogs!B246)</f>
        <v/>
      </c>
      <c r="B246" s="3" t="str">
        <f aca="false">IF(Worklogs!A246="","",INT(ROUND(Worklogs!D246/60,0)/60))</f>
        <v/>
      </c>
      <c r="C246" s="3" t="str">
        <f aca="false">IF(Worklogs!A246="","",MOD(ROUND(Worklogs!D246/60,0),60))</f>
        <v/>
      </c>
      <c r="D246" s="4" t="str">
        <f aca="false">IF(Worklogs!A246="","",DATEVALUE(LEFT(Worklogs!E246,10)))</f>
        <v/>
      </c>
    </row>
    <row r="247" customFormat="false" ht="15" hidden="false" customHeight="false" outlineLevel="0" collapsed="false">
      <c r="A247" s="2" t="str">
        <f aca="false">IF(Worklogs!A247="","",Worklogs!A247&amp;" "&amp;Worklogs!B247)</f>
        <v/>
      </c>
      <c r="B247" s="3" t="str">
        <f aca="false">IF(Worklogs!A247="","",INT(ROUND(Worklogs!D247/60,0)/60))</f>
        <v/>
      </c>
      <c r="C247" s="3" t="str">
        <f aca="false">IF(Worklogs!A247="","",MOD(ROUND(Worklogs!D247/60,0),60))</f>
        <v/>
      </c>
      <c r="D247" s="4" t="str">
        <f aca="false">IF(Worklogs!A247="","",DATEVALUE(LEFT(Worklogs!E247,10)))</f>
        <v/>
      </c>
    </row>
    <row r="248" customFormat="false" ht="15" hidden="false" customHeight="false" outlineLevel="0" collapsed="false">
      <c r="A248" s="2" t="str">
        <f aca="false">IF(Worklogs!A248="","",Worklogs!A248&amp;" "&amp;Worklogs!B248)</f>
        <v/>
      </c>
      <c r="B248" s="3" t="str">
        <f aca="false">IF(Worklogs!A248="","",INT(ROUND(Worklogs!D248/60,0)/60))</f>
        <v/>
      </c>
      <c r="C248" s="3" t="str">
        <f aca="false">IF(Worklogs!A248="","",MOD(ROUND(Worklogs!D248/60,0),60))</f>
        <v/>
      </c>
      <c r="D248" s="4" t="str">
        <f aca="false">IF(Worklogs!A248="","",DATEVALUE(LEFT(Worklogs!E248,10)))</f>
        <v/>
      </c>
    </row>
    <row r="249" customFormat="false" ht="15" hidden="false" customHeight="false" outlineLevel="0" collapsed="false">
      <c r="A249" s="2" t="str">
        <f aca="false">IF(Worklogs!A249="","",Worklogs!A249&amp;" "&amp;Worklogs!B249)</f>
        <v/>
      </c>
      <c r="B249" s="3" t="str">
        <f aca="false">IF(Worklogs!A249="","",INT(ROUND(Worklogs!D249/60,0)/60))</f>
        <v/>
      </c>
      <c r="C249" s="3" t="str">
        <f aca="false">IF(Worklogs!A249="","",MOD(ROUND(Worklogs!D249/60,0),60))</f>
        <v/>
      </c>
      <c r="D249" s="4" t="str">
        <f aca="false">IF(Worklogs!A249="","",DATEVALUE(LEFT(Worklogs!E249,10)))</f>
        <v/>
      </c>
    </row>
    <row r="250" customFormat="false" ht="15" hidden="false" customHeight="false" outlineLevel="0" collapsed="false">
      <c r="A250" s="2" t="str">
        <f aca="false">IF(Worklogs!A250="","",Worklogs!A250&amp;" "&amp;Worklogs!B250)</f>
        <v/>
      </c>
      <c r="B250" s="3" t="str">
        <f aca="false">IF(Worklogs!A250="","",INT(ROUND(Worklogs!D250/60,0)/60))</f>
        <v/>
      </c>
      <c r="C250" s="3" t="str">
        <f aca="false">IF(Worklogs!A250="","",MOD(ROUND(Worklogs!D250/60,0),60))</f>
        <v/>
      </c>
      <c r="D250" s="4" t="str">
        <f aca="false">IF(Worklogs!A250="","",DATEVALUE(LEFT(Worklogs!E250,10)))</f>
        <v/>
      </c>
    </row>
    <row r="251" customFormat="false" ht="15" hidden="false" customHeight="false" outlineLevel="0" collapsed="false">
      <c r="A251" s="2" t="str">
        <f aca="false">IF(Worklogs!A251="","",Worklogs!A251&amp;" "&amp;Worklogs!B251)</f>
        <v/>
      </c>
      <c r="B251" s="3" t="str">
        <f aca="false">IF(Worklogs!A251="","",INT(ROUND(Worklogs!D251/60,0)/60))</f>
        <v/>
      </c>
      <c r="C251" s="3" t="str">
        <f aca="false">IF(Worklogs!A251="","",MOD(ROUND(Worklogs!D251/60,0),60))</f>
        <v/>
      </c>
      <c r="D251" s="4" t="str">
        <f aca="false">IF(Worklogs!A251="","",DATEVALUE(LEFT(Worklogs!E251,10)))</f>
        <v/>
      </c>
    </row>
    <row r="252" customFormat="false" ht="15" hidden="false" customHeight="false" outlineLevel="0" collapsed="false">
      <c r="A252" s="2" t="str">
        <f aca="false">IF(Worklogs!A252="","",Worklogs!A252&amp;" "&amp;Worklogs!B252)</f>
        <v/>
      </c>
      <c r="B252" s="3" t="str">
        <f aca="false">IF(Worklogs!A252="","",INT(ROUND(Worklogs!D252/60,0)/60))</f>
        <v/>
      </c>
      <c r="C252" s="3" t="str">
        <f aca="false">IF(Worklogs!A252="","",MOD(ROUND(Worklogs!D252/60,0),60))</f>
        <v/>
      </c>
      <c r="D252" s="4" t="str">
        <f aca="false">IF(Worklogs!A252="","",DATEVALUE(LEFT(Worklogs!E252,10)))</f>
        <v/>
      </c>
    </row>
    <row r="253" customFormat="false" ht="15" hidden="false" customHeight="false" outlineLevel="0" collapsed="false">
      <c r="A253" s="2" t="str">
        <f aca="false">IF(Worklogs!A253="","",Worklogs!A253&amp;" "&amp;Worklogs!B253)</f>
        <v/>
      </c>
      <c r="B253" s="3" t="str">
        <f aca="false">IF(Worklogs!A253="","",INT(ROUND(Worklogs!D253/60,0)/60))</f>
        <v/>
      </c>
      <c r="C253" s="3" t="str">
        <f aca="false">IF(Worklogs!A253="","",MOD(ROUND(Worklogs!D253/60,0),60))</f>
        <v/>
      </c>
      <c r="D253" s="4" t="str">
        <f aca="false">IF(Worklogs!A253="","",DATEVALUE(LEFT(Worklogs!E253,10)))</f>
        <v/>
      </c>
    </row>
    <row r="254" customFormat="false" ht="15" hidden="false" customHeight="false" outlineLevel="0" collapsed="false">
      <c r="A254" s="2" t="str">
        <f aca="false">IF(Worklogs!A254="","",Worklogs!A254&amp;" "&amp;Worklogs!B254)</f>
        <v/>
      </c>
      <c r="B254" s="3" t="str">
        <f aca="false">IF(Worklogs!A254="","",INT(ROUND(Worklogs!D254/60,0)/60))</f>
        <v/>
      </c>
      <c r="C254" s="3" t="str">
        <f aca="false">IF(Worklogs!A254="","",MOD(ROUND(Worklogs!D254/60,0),60))</f>
        <v/>
      </c>
      <c r="D254" s="4" t="str">
        <f aca="false">IF(Worklogs!A254="","",DATEVALUE(LEFT(Worklogs!E254,10)))</f>
        <v/>
      </c>
    </row>
    <row r="255" customFormat="false" ht="15" hidden="false" customHeight="false" outlineLevel="0" collapsed="false">
      <c r="A255" s="2" t="str">
        <f aca="false">IF(Worklogs!A255="","",Worklogs!A255&amp;" "&amp;Worklogs!B255)</f>
        <v/>
      </c>
      <c r="B255" s="3" t="str">
        <f aca="false">IF(Worklogs!A255="","",INT(ROUND(Worklogs!D255/60,0)/60))</f>
        <v/>
      </c>
      <c r="C255" s="3" t="str">
        <f aca="false">IF(Worklogs!A255="","",MOD(ROUND(Worklogs!D255/60,0),60))</f>
        <v/>
      </c>
      <c r="D255" s="4" t="str">
        <f aca="false">IF(Worklogs!A255="","",DATEVALUE(LEFT(Worklogs!E255,10)))</f>
        <v/>
      </c>
    </row>
    <row r="256" customFormat="false" ht="15" hidden="false" customHeight="false" outlineLevel="0" collapsed="false">
      <c r="A256" s="2" t="str">
        <f aca="false">IF(Worklogs!A256="","",Worklogs!A256&amp;" "&amp;Worklogs!B256)</f>
        <v/>
      </c>
      <c r="B256" s="3" t="str">
        <f aca="false">IF(Worklogs!A256="","",INT(ROUND(Worklogs!D256/60,0)/60))</f>
        <v/>
      </c>
      <c r="C256" s="3" t="str">
        <f aca="false">IF(Worklogs!A256="","",MOD(ROUND(Worklogs!D256/60,0),60))</f>
        <v/>
      </c>
      <c r="D256" s="4" t="str">
        <f aca="false">IF(Worklogs!A256="","",DATEVALUE(LEFT(Worklogs!E256,10)))</f>
        <v/>
      </c>
    </row>
    <row r="257" customFormat="false" ht="15" hidden="false" customHeight="false" outlineLevel="0" collapsed="false">
      <c r="A257" s="2" t="str">
        <f aca="false">IF(Worklogs!A257="","",Worklogs!A257&amp;" "&amp;Worklogs!B257)</f>
        <v/>
      </c>
      <c r="B257" s="3" t="str">
        <f aca="false">IF(Worklogs!A257="","",INT(ROUND(Worklogs!D257/60,0)/60))</f>
        <v/>
      </c>
      <c r="C257" s="3" t="str">
        <f aca="false">IF(Worklogs!A257="","",MOD(ROUND(Worklogs!D257/60,0),60))</f>
        <v/>
      </c>
      <c r="D257" s="4" t="str">
        <f aca="false">IF(Worklogs!A257="","",DATEVALUE(LEFT(Worklogs!E257,10)))</f>
        <v/>
      </c>
    </row>
    <row r="258" customFormat="false" ht="15" hidden="false" customHeight="false" outlineLevel="0" collapsed="false">
      <c r="A258" s="2" t="str">
        <f aca="false">IF(Worklogs!A258="","",Worklogs!A258&amp;" "&amp;Worklogs!B258)</f>
        <v/>
      </c>
      <c r="B258" s="3" t="str">
        <f aca="false">IF(Worklogs!A258="","",INT(ROUND(Worklogs!D258/60,0)/60))</f>
        <v/>
      </c>
      <c r="C258" s="3" t="str">
        <f aca="false">IF(Worklogs!A258="","",MOD(ROUND(Worklogs!D258/60,0),60))</f>
        <v/>
      </c>
      <c r="D258" s="4" t="str">
        <f aca="false">IF(Worklogs!A258="","",DATEVALUE(LEFT(Worklogs!E258,10)))</f>
        <v/>
      </c>
    </row>
    <row r="259" customFormat="false" ht="15" hidden="false" customHeight="false" outlineLevel="0" collapsed="false">
      <c r="A259" s="2" t="str">
        <f aca="false">IF(Worklogs!A259="","",Worklogs!A259&amp;" "&amp;Worklogs!B259)</f>
        <v/>
      </c>
      <c r="B259" s="3" t="str">
        <f aca="false">IF(Worklogs!A259="","",INT(ROUND(Worklogs!D259/60,0)/60))</f>
        <v/>
      </c>
      <c r="C259" s="3" t="str">
        <f aca="false">IF(Worklogs!A259="","",MOD(ROUND(Worklogs!D259/60,0),60))</f>
        <v/>
      </c>
      <c r="D259" s="4" t="str">
        <f aca="false">IF(Worklogs!A259="","",DATEVALUE(LEFT(Worklogs!E259,10)))</f>
        <v/>
      </c>
    </row>
    <row r="260" customFormat="false" ht="15" hidden="false" customHeight="false" outlineLevel="0" collapsed="false">
      <c r="A260" s="2" t="str">
        <f aca="false">IF(Worklogs!A260="","",Worklogs!A260&amp;" "&amp;Worklogs!B260)</f>
        <v/>
      </c>
      <c r="B260" s="3" t="str">
        <f aca="false">IF(Worklogs!A260="","",INT(ROUND(Worklogs!D260/60,0)/60))</f>
        <v/>
      </c>
      <c r="C260" s="3" t="str">
        <f aca="false">IF(Worklogs!A260="","",MOD(ROUND(Worklogs!D260/60,0),60))</f>
        <v/>
      </c>
      <c r="D260" s="4" t="str">
        <f aca="false">IF(Worklogs!A260="","",DATEVALUE(LEFT(Worklogs!E260,10)))</f>
        <v/>
      </c>
    </row>
    <row r="261" customFormat="false" ht="15" hidden="false" customHeight="false" outlineLevel="0" collapsed="false">
      <c r="A261" s="2" t="str">
        <f aca="false">IF(Worklogs!A261="","",Worklogs!A261&amp;" "&amp;Worklogs!B261)</f>
        <v/>
      </c>
      <c r="B261" s="3" t="str">
        <f aca="false">IF(Worklogs!A261="","",INT(ROUND(Worklogs!D261/60,0)/60))</f>
        <v/>
      </c>
      <c r="C261" s="3" t="str">
        <f aca="false">IF(Worklogs!A261="","",MOD(ROUND(Worklogs!D261/60,0),60))</f>
        <v/>
      </c>
      <c r="D261" s="4" t="str">
        <f aca="false">IF(Worklogs!A261="","",DATEVALUE(LEFT(Worklogs!E261,10)))</f>
        <v/>
      </c>
    </row>
    <row r="262" customFormat="false" ht="15" hidden="false" customHeight="false" outlineLevel="0" collapsed="false">
      <c r="A262" s="2" t="str">
        <f aca="false">IF(Worklogs!A262="","",Worklogs!A262&amp;" "&amp;Worklogs!B262)</f>
        <v/>
      </c>
      <c r="B262" s="3" t="str">
        <f aca="false">IF(Worklogs!A262="","",INT(ROUND(Worklogs!D262/60,0)/60))</f>
        <v/>
      </c>
      <c r="C262" s="3" t="str">
        <f aca="false">IF(Worklogs!A262="","",MOD(ROUND(Worklogs!D262/60,0),60))</f>
        <v/>
      </c>
      <c r="D262" s="4" t="str">
        <f aca="false">IF(Worklogs!A262="","",DATEVALUE(LEFT(Worklogs!E262,10)))</f>
        <v/>
      </c>
    </row>
    <row r="263" customFormat="false" ht="15" hidden="false" customHeight="false" outlineLevel="0" collapsed="false">
      <c r="A263" s="2" t="str">
        <f aca="false">IF(Worklogs!A263="","",Worklogs!A263&amp;" "&amp;Worklogs!B263)</f>
        <v/>
      </c>
      <c r="B263" s="3" t="str">
        <f aca="false">IF(Worklogs!A263="","",INT(ROUND(Worklogs!D263/60,0)/60))</f>
        <v/>
      </c>
      <c r="C263" s="3" t="str">
        <f aca="false">IF(Worklogs!A263="","",MOD(ROUND(Worklogs!D263/60,0),60))</f>
        <v/>
      </c>
      <c r="D263" s="4" t="str">
        <f aca="false">IF(Worklogs!A263="","",DATEVALUE(LEFT(Worklogs!E263,10)))</f>
        <v/>
      </c>
    </row>
    <row r="264" customFormat="false" ht="15" hidden="false" customHeight="false" outlineLevel="0" collapsed="false">
      <c r="A264" s="2" t="str">
        <f aca="false">IF(Worklogs!A264="","",Worklogs!A264&amp;" "&amp;Worklogs!B264)</f>
        <v/>
      </c>
      <c r="B264" s="3" t="str">
        <f aca="false">IF(Worklogs!A264="","",INT(ROUND(Worklogs!D264/60,0)/60))</f>
        <v/>
      </c>
      <c r="C264" s="3" t="str">
        <f aca="false">IF(Worklogs!A264="","",MOD(ROUND(Worklogs!D264/60,0),60))</f>
        <v/>
      </c>
      <c r="D264" s="4" t="str">
        <f aca="false">IF(Worklogs!A264="","",DATEVALUE(LEFT(Worklogs!E264,10)))</f>
        <v/>
      </c>
    </row>
    <row r="265" customFormat="false" ht="15" hidden="false" customHeight="false" outlineLevel="0" collapsed="false">
      <c r="A265" s="2" t="str">
        <f aca="false">IF(Worklogs!A265="","",Worklogs!A265&amp;" "&amp;Worklogs!B265)</f>
        <v/>
      </c>
      <c r="B265" s="3" t="str">
        <f aca="false">IF(Worklogs!A265="","",INT(ROUND(Worklogs!D265/60,0)/60))</f>
        <v/>
      </c>
      <c r="C265" s="3" t="str">
        <f aca="false">IF(Worklogs!A265="","",MOD(ROUND(Worklogs!D265/60,0),60))</f>
        <v/>
      </c>
      <c r="D265" s="4" t="str">
        <f aca="false">IF(Worklogs!A265="","",DATEVALUE(LEFT(Worklogs!E265,10)))</f>
        <v/>
      </c>
    </row>
    <row r="266" customFormat="false" ht="15" hidden="false" customHeight="false" outlineLevel="0" collapsed="false">
      <c r="A266" s="2" t="str">
        <f aca="false">IF(Worklogs!A266="","",Worklogs!A266&amp;" "&amp;Worklogs!B266)</f>
        <v/>
      </c>
      <c r="B266" s="3" t="str">
        <f aca="false">IF(Worklogs!A266="","",INT(ROUND(Worklogs!D266/60,0)/60))</f>
        <v/>
      </c>
      <c r="C266" s="3" t="str">
        <f aca="false">IF(Worklogs!A266="","",MOD(ROUND(Worklogs!D266/60,0),60))</f>
        <v/>
      </c>
      <c r="D266" s="4" t="str">
        <f aca="false">IF(Worklogs!A266="","",DATEVALUE(LEFT(Worklogs!E266,10)))</f>
        <v/>
      </c>
    </row>
    <row r="267" customFormat="false" ht="15" hidden="false" customHeight="false" outlineLevel="0" collapsed="false">
      <c r="A267" s="2" t="str">
        <f aca="false">IF(Worklogs!A267="","",Worklogs!A267&amp;" "&amp;Worklogs!B267)</f>
        <v/>
      </c>
      <c r="B267" s="3" t="str">
        <f aca="false">IF(Worklogs!A267="","",INT(ROUND(Worklogs!D267/60,0)/60))</f>
        <v/>
      </c>
      <c r="C267" s="3" t="str">
        <f aca="false">IF(Worklogs!A267="","",MOD(ROUND(Worklogs!D267/60,0),60))</f>
        <v/>
      </c>
      <c r="D267" s="4" t="str">
        <f aca="false">IF(Worklogs!A267="","",DATEVALUE(LEFT(Worklogs!E267,10)))</f>
        <v/>
      </c>
    </row>
    <row r="268" customFormat="false" ht="15" hidden="false" customHeight="false" outlineLevel="0" collapsed="false">
      <c r="A268" s="2" t="str">
        <f aca="false">IF(Worklogs!A268="","",Worklogs!A268&amp;" "&amp;Worklogs!B268)</f>
        <v/>
      </c>
      <c r="B268" s="3" t="str">
        <f aca="false">IF(Worklogs!A268="","",INT(ROUND(Worklogs!D268/60,0)/60))</f>
        <v/>
      </c>
      <c r="C268" s="3" t="str">
        <f aca="false">IF(Worklogs!A268="","",MOD(ROUND(Worklogs!D268/60,0),60))</f>
        <v/>
      </c>
      <c r="D268" s="4" t="str">
        <f aca="false">IF(Worklogs!A268="","",DATEVALUE(LEFT(Worklogs!E268,10)))</f>
        <v/>
      </c>
    </row>
    <row r="269" customFormat="false" ht="15" hidden="false" customHeight="false" outlineLevel="0" collapsed="false">
      <c r="A269" s="2" t="str">
        <f aca="false">IF(Worklogs!A269="","",Worklogs!A269&amp;" "&amp;Worklogs!B269)</f>
        <v/>
      </c>
      <c r="B269" s="3" t="str">
        <f aca="false">IF(Worklogs!A269="","",INT(ROUND(Worklogs!D269/60,0)/60))</f>
        <v/>
      </c>
      <c r="C269" s="3" t="str">
        <f aca="false">IF(Worklogs!A269="","",MOD(ROUND(Worklogs!D269/60,0),60))</f>
        <v/>
      </c>
      <c r="D269" s="4" t="str">
        <f aca="false">IF(Worklogs!A269="","",DATEVALUE(LEFT(Worklogs!E269,10)))</f>
        <v/>
      </c>
    </row>
    <row r="270" customFormat="false" ht="15" hidden="false" customHeight="false" outlineLevel="0" collapsed="false">
      <c r="A270" s="2" t="str">
        <f aca="false">IF(Worklogs!A270="","",Worklogs!A270&amp;" "&amp;Worklogs!B270)</f>
        <v/>
      </c>
      <c r="B270" s="3" t="str">
        <f aca="false">IF(Worklogs!A270="","",INT(ROUND(Worklogs!D270/60,0)/60))</f>
        <v/>
      </c>
      <c r="C270" s="3" t="str">
        <f aca="false">IF(Worklogs!A270="","",MOD(ROUND(Worklogs!D270/60,0),60))</f>
        <v/>
      </c>
      <c r="D270" s="4" t="str">
        <f aca="false">IF(Worklogs!A270="","",DATEVALUE(LEFT(Worklogs!E270,10)))</f>
        <v/>
      </c>
    </row>
    <row r="271" customFormat="false" ht="15" hidden="false" customHeight="false" outlineLevel="0" collapsed="false">
      <c r="A271" s="2" t="str">
        <f aca="false">IF(Worklogs!A271="","",Worklogs!A271&amp;" "&amp;Worklogs!B271)</f>
        <v/>
      </c>
      <c r="B271" s="3" t="str">
        <f aca="false">IF(Worklogs!A271="","",INT(ROUND(Worklogs!D271/60,0)/60))</f>
        <v/>
      </c>
      <c r="C271" s="3" t="str">
        <f aca="false">IF(Worklogs!A271="","",MOD(ROUND(Worklogs!D271/60,0),60))</f>
        <v/>
      </c>
      <c r="D271" s="4" t="str">
        <f aca="false">IF(Worklogs!A271="","",DATEVALUE(LEFT(Worklogs!E271,10)))</f>
        <v/>
      </c>
    </row>
    <row r="272" customFormat="false" ht="15" hidden="false" customHeight="false" outlineLevel="0" collapsed="false">
      <c r="A272" s="2" t="str">
        <f aca="false">IF(Worklogs!A272="","",Worklogs!A272&amp;" "&amp;Worklogs!B272)</f>
        <v/>
      </c>
      <c r="B272" s="3" t="str">
        <f aca="false">IF(Worklogs!A272="","",INT(ROUND(Worklogs!D272/60,0)/60))</f>
        <v/>
      </c>
      <c r="C272" s="3" t="str">
        <f aca="false">IF(Worklogs!A272="","",MOD(ROUND(Worklogs!D272/60,0),60))</f>
        <v/>
      </c>
      <c r="D272" s="4" t="str">
        <f aca="false">IF(Worklogs!A272="","",DATEVALUE(LEFT(Worklogs!E272,10)))</f>
        <v/>
      </c>
    </row>
    <row r="273" customFormat="false" ht="15" hidden="false" customHeight="false" outlineLevel="0" collapsed="false">
      <c r="A273" s="2" t="str">
        <f aca="false">IF(Worklogs!A273="","",Worklogs!A273&amp;" "&amp;Worklogs!B273)</f>
        <v/>
      </c>
      <c r="B273" s="3" t="str">
        <f aca="false">IF(Worklogs!A273="","",INT(ROUND(Worklogs!D273/60,0)/60))</f>
        <v/>
      </c>
      <c r="C273" s="3" t="str">
        <f aca="false">IF(Worklogs!A273="","",MOD(ROUND(Worklogs!D273/60,0),60))</f>
        <v/>
      </c>
      <c r="D273" s="4" t="str">
        <f aca="false">IF(Worklogs!A273="","",DATEVALUE(LEFT(Worklogs!E273,10)))</f>
        <v/>
      </c>
    </row>
    <row r="274" customFormat="false" ht="15" hidden="false" customHeight="false" outlineLevel="0" collapsed="false">
      <c r="A274" s="2" t="str">
        <f aca="false">IF(Worklogs!A274="","",Worklogs!A274&amp;" "&amp;Worklogs!B274)</f>
        <v/>
      </c>
      <c r="B274" s="3" t="str">
        <f aca="false">IF(Worklogs!A274="","",INT(ROUND(Worklogs!D274/60,0)/60))</f>
        <v/>
      </c>
      <c r="C274" s="3" t="str">
        <f aca="false">IF(Worklogs!A274="","",MOD(ROUND(Worklogs!D274/60,0),60))</f>
        <v/>
      </c>
      <c r="D274" s="4" t="str">
        <f aca="false">IF(Worklogs!A274="","",DATEVALUE(LEFT(Worklogs!E274,10)))</f>
        <v/>
      </c>
    </row>
    <row r="275" customFormat="false" ht="15" hidden="false" customHeight="false" outlineLevel="0" collapsed="false">
      <c r="A275" s="2" t="str">
        <f aca="false">IF(Worklogs!A275="","",Worklogs!A275&amp;" "&amp;Worklogs!B275)</f>
        <v/>
      </c>
      <c r="B275" s="3" t="str">
        <f aca="false">IF(Worklogs!A275="","",INT(ROUND(Worklogs!D275/60,0)/60))</f>
        <v/>
      </c>
      <c r="C275" s="3" t="str">
        <f aca="false">IF(Worklogs!A275="","",MOD(ROUND(Worklogs!D275/60,0),60))</f>
        <v/>
      </c>
      <c r="D275" s="4" t="str">
        <f aca="false">IF(Worklogs!A275="","",DATEVALUE(LEFT(Worklogs!E275,10)))</f>
        <v/>
      </c>
    </row>
    <row r="276" customFormat="false" ht="15" hidden="false" customHeight="false" outlineLevel="0" collapsed="false">
      <c r="A276" s="2" t="str">
        <f aca="false">IF(Worklogs!A276="","",Worklogs!A276&amp;" "&amp;Worklogs!B276)</f>
        <v/>
      </c>
      <c r="B276" s="3" t="str">
        <f aca="false">IF(Worklogs!A276="","",INT(ROUND(Worklogs!D276/60,0)/60))</f>
        <v/>
      </c>
      <c r="C276" s="3" t="str">
        <f aca="false">IF(Worklogs!A276="","",MOD(ROUND(Worklogs!D276/60,0),60))</f>
        <v/>
      </c>
      <c r="D276" s="4" t="str">
        <f aca="false">IF(Worklogs!A276="","",DATEVALUE(LEFT(Worklogs!E276,10)))</f>
        <v/>
      </c>
    </row>
    <row r="277" customFormat="false" ht="15" hidden="false" customHeight="false" outlineLevel="0" collapsed="false">
      <c r="A277" s="2" t="str">
        <f aca="false">IF(Worklogs!A277="","",Worklogs!A277&amp;" "&amp;Worklogs!B277)</f>
        <v/>
      </c>
      <c r="B277" s="3" t="str">
        <f aca="false">IF(Worklogs!A277="","",INT(ROUND(Worklogs!D277/60,0)/60))</f>
        <v/>
      </c>
      <c r="C277" s="3" t="str">
        <f aca="false">IF(Worklogs!A277="","",MOD(ROUND(Worklogs!D277/60,0),60))</f>
        <v/>
      </c>
      <c r="D277" s="4" t="str">
        <f aca="false">IF(Worklogs!A277="","",DATEVALUE(LEFT(Worklogs!E277,10)))</f>
        <v/>
      </c>
    </row>
    <row r="278" customFormat="false" ht="15" hidden="false" customHeight="false" outlineLevel="0" collapsed="false">
      <c r="A278" s="2" t="str">
        <f aca="false">IF(Worklogs!A278="","",Worklogs!A278&amp;" "&amp;Worklogs!B278)</f>
        <v/>
      </c>
      <c r="B278" s="3" t="str">
        <f aca="false">IF(Worklogs!A278="","",INT(ROUND(Worklogs!D278/60,0)/60))</f>
        <v/>
      </c>
      <c r="C278" s="3" t="str">
        <f aca="false">IF(Worklogs!A278="","",MOD(ROUND(Worklogs!D278/60,0),60))</f>
        <v/>
      </c>
      <c r="D278" s="4" t="str">
        <f aca="false">IF(Worklogs!A278="","",DATEVALUE(LEFT(Worklogs!E278,10)))</f>
        <v/>
      </c>
    </row>
    <row r="279" customFormat="false" ht="15" hidden="false" customHeight="false" outlineLevel="0" collapsed="false">
      <c r="A279" s="2" t="str">
        <f aca="false">IF(Worklogs!A279="","",Worklogs!A279&amp;" "&amp;Worklogs!B279)</f>
        <v/>
      </c>
      <c r="B279" s="3" t="str">
        <f aca="false">IF(Worklogs!A279="","",INT(ROUND(Worklogs!D279/60,0)/60))</f>
        <v/>
      </c>
      <c r="C279" s="3" t="str">
        <f aca="false">IF(Worklogs!A279="","",MOD(ROUND(Worklogs!D279/60,0),60))</f>
        <v/>
      </c>
      <c r="D279" s="4" t="str">
        <f aca="false">IF(Worklogs!A279="","",DATEVALUE(LEFT(Worklogs!E279,10)))</f>
        <v/>
      </c>
    </row>
    <row r="280" customFormat="false" ht="15" hidden="false" customHeight="false" outlineLevel="0" collapsed="false">
      <c r="A280" s="2" t="str">
        <f aca="false">IF(Worklogs!A280="","",Worklogs!A280&amp;" "&amp;Worklogs!B280)</f>
        <v/>
      </c>
      <c r="B280" s="3" t="str">
        <f aca="false">IF(Worklogs!A280="","",INT(ROUND(Worklogs!D280/60,0)/60))</f>
        <v/>
      </c>
      <c r="C280" s="3" t="str">
        <f aca="false">IF(Worklogs!A280="","",MOD(ROUND(Worklogs!D280/60,0),60))</f>
        <v/>
      </c>
      <c r="D280" s="4" t="str">
        <f aca="false">IF(Worklogs!A280="","",DATEVALUE(LEFT(Worklogs!E280,10)))</f>
        <v/>
      </c>
    </row>
    <row r="281" customFormat="false" ht="15" hidden="false" customHeight="false" outlineLevel="0" collapsed="false">
      <c r="A281" s="2" t="str">
        <f aca="false">IF(Worklogs!A281="","",Worklogs!A281&amp;" "&amp;Worklogs!B281)</f>
        <v/>
      </c>
      <c r="B281" s="3" t="str">
        <f aca="false">IF(Worklogs!A281="","",INT(ROUND(Worklogs!D281/60,0)/60))</f>
        <v/>
      </c>
      <c r="C281" s="3" t="str">
        <f aca="false">IF(Worklogs!A281="","",MOD(ROUND(Worklogs!D281/60,0),60))</f>
        <v/>
      </c>
      <c r="D281" s="4" t="str">
        <f aca="false">IF(Worklogs!A281="","",DATEVALUE(LEFT(Worklogs!E281,10)))</f>
        <v/>
      </c>
    </row>
    <row r="282" customFormat="false" ht="15" hidden="false" customHeight="false" outlineLevel="0" collapsed="false">
      <c r="A282" s="2" t="str">
        <f aca="false">IF(Worklogs!A282="","",Worklogs!A282&amp;" "&amp;Worklogs!B282)</f>
        <v/>
      </c>
      <c r="B282" s="3" t="str">
        <f aca="false">IF(Worklogs!A282="","",INT(ROUND(Worklogs!D282/60,0)/60))</f>
        <v/>
      </c>
      <c r="C282" s="3" t="str">
        <f aca="false">IF(Worklogs!A282="","",MOD(ROUND(Worklogs!D282/60,0),60))</f>
        <v/>
      </c>
      <c r="D282" s="4" t="str">
        <f aca="false">IF(Worklogs!A282="","",DATEVALUE(LEFT(Worklogs!E282,10)))</f>
        <v/>
      </c>
    </row>
    <row r="283" customFormat="false" ht="15" hidden="false" customHeight="false" outlineLevel="0" collapsed="false">
      <c r="A283" s="2" t="str">
        <f aca="false">IF(Worklogs!A283="","",Worklogs!A283&amp;" "&amp;Worklogs!B283)</f>
        <v/>
      </c>
      <c r="B283" s="3" t="str">
        <f aca="false">IF(Worklogs!A283="","",INT(ROUND(Worklogs!D283/60,0)/60))</f>
        <v/>
      </c>
      <c r="C283" s="3" t="str">
        <f aca="false">IF(Worklogs!A283="","",MOD(ROUND(Worklogs!D283/60,0),60))</f>
        <v/>
      </c>
      <c r="D283" s="4" t="str">
        <f aca="false">IF(Worklogs!A283="","",DATEVALUE(LEFT(Worklogs!E283,10)))</f>
        <v/>
      </c>
    </row>
    <row r="284" customFormat="false" ht="15" hidden="false" customHeight="false" outlineLevel="0" collapsed="false">
      <c r="A284" s="2" t="str">
        <f aca="false">IF(Worklogs!A284="","",Worklogs!A284&amp;" "&amp;Worklogs!B284)</f>
        <v/>
      </c>
      <c r="B284" s="3" t="str">
        <f aca="false">IF(Worklogs!A284="","",INT(ROUND(Worklogs!D284/60,0)/60))</f>
        <v/>
      </c>
      <c r="C284" s="3" t="str">
        <f aca="false">IF(Worklogs!A284="","",MOD(ROUND(Worklogs!D284/60,0),60))</f>
        <v/>
      </c>
      <c r="D284" s="4" t="str">
        <f aca="false">IF(Worklogs!A284="","",DATEVALUE(LEFT(Worklogs!E284,10)))</f>
        <v/>
      </c>
    </row>
    <row r="285" customFormat="false" ht="15" hidden="false" customHeight="false" outlineLevel="0" collapsed="false">
      <c r="A285" s="2" t="str">
        <f aca="false">IF(Worklogs!A285="","",Worklogs!A285&amp;" "&amp;Worklogs!B285)</f>
        <v/>
      </c>
      <c r="B285" s="3" t="str">
        <f aca="false">IF(Worklogs!A285="","",INT(ROUND(Worklogs!D285/60,0)/60))</f>
        <v/>
      </c>
      <c r="C285" s="3" t="str">
        <f aca="false">IF(Worklogs!A285="","",MOD(ROUND(Worklogs!D285/60,0),60))</f>
        <v/>
      </c>
      <c r="D285" s="4" t="str">
        <f aca="false">IF(Worklogs!A285="","",DATEVALUE(LEFT(Worklogs!E285,10)))</f>
        <v/>
      </c>
    </row>
    <row r="286" customFormat="false" ht="15" hidden="false" customHeight="false" outlineLevel="0" collapsed="false">
      <c r="A286" s="2" t="str">
        <f aca="false">IF(Worklogs!A286="","",Worklogs!A286&amp;" "&amp;Worklogs!B286)</f>
        <v/>
      </c>
      <c r="B286" s="3" t="str">
        <f aca="false">IF(Worklogs!A286="","",INT(ROUND(Worklogs!D286/60,0)/60))</f>
        <v/>
      </c>
      <c r="C286" s="3" t="str">
        <f aca="false">IF(Worklogs!A286="","",MOD(ROUND(Worklogs!D286/60,0),60))</f>
        <v/>
      </c>
      <c r="D286" s="4" t="str">
        <f aca="false">IF(Worklogs!A286="","",DATEVALUE(LEFT(Worklogs!E286,10)))</f>
        <v/>
      </c>
    </row>
    <row r="287" customFormat="false" ht="15" hidden="false" customHeight="false" outlineLevel="0" collapsed="false">
      <c r="A287" s="2" t="str">
        <f aca="false">IF(Worklogs!A287="","",Worklogs!A287&amp;" "&amp;Worklogs!B287)</f>
        <v/>
      </c>
      <c r="B287" s="3" t="str">
        <f aca="false">IF(Worklogs!A287="","",INT(ROUND(Worklogs!D287/60,0)/60))</f>
        <v/>
      </c>
      <c r="C287" s="3" t="str">
        <f aca="false">IF(Worklogs!A287="","",MOD(ROUND(Worklogs!D287/60,0),60))</f>
        <v/>
      </c>
      <c r="D287" s="4" t="str">
        <f aca="false">IF(Worklogs!A287="","",DATEVALUE(LEFT(Worklogs!E287,10)))</f>
        <v/>
      </c>
    </row>
    <row r="288" customFormat="false" ht="15" hidden="false" customHeight="false" outlineLevel="0" collapsed="false">
      <c r="A288" s="2" t="str">
        <f aca="false">IF(Worklogs!A288="","",Worklogs!A288&amp;" "&amp;Worklogs!B288)</f>
        <v/>
      </c>
      <c r="B288" s="3" t="str">
        <f aca="false">IF(Worklogs!A288="","",INT(ROUND(Worklogs!D288/60,0)/60))</f>
        <v/>
      </c>
      <c r="C288" s="3" t="str">
        <f aca="false">IF(Worklogs!A288="","",MOD(ROUND(Worklogs!D288/60,0),60))</f>
        <v/>
      </c>
      <c r="D288" s="4" t="str">
        <f aca="false">IF(Worklogs!A288="","",DATEVALUE(LEFT(Worklogs!E288,10)))</f>
        <v/>
      </c>
    </row>
    <row r="289" customFormat="false" ht="15" hidden="false" customHeight="false" outlineLevel="0" collapsed="false">
      <c r="A289" s="2" t="str">
        <f aca="false">IF(Worklogs!A289="","",Worklogs!A289&amp;" "&amp;Worklogs!B289)</f>
        <v/>
      </c>
      <c r="B289" s="3" t="str">
        <f aca="false">IF(Worklogs!A289="","",INT(ROUND(Worklogs!D289/60,0)/60))</f>
        <v/>
      </c>
      <c r="C289" s="3" t="str">
        <f aca="false">IF(Worklogs!A289="","",MOD(ROUND(Worklogs!D289/60,0),60))</f>
        <v/>
      </c>
      <c r="D289" s="4" t="str">
        <f aca="false">IF(Worklogs!A289="","",DATEVALUE(LEFT(Worklogs!E289,10)))</f>
        <v/>
      </c>
    </row>
    <row r="290" customFormat="false" ht="15" hidden="false" customHeight="false" outlineLevel="0" collapsed="false">
      <c r="A290" s="2" t="str">
        <f aca="false">IF(Worklogs!A290="","",Worklogs!A290&amp;" "&amp;Worklogs!B290)</f>
        <v/>
      </c>
      <c r="B290" s="3" t="str">
        <f aca="false">IF(Worklogs!A290="","",INT(ROUND(Worklogs!D290/60,0)/60))</f>
        <v/>
      </c>
      <c r="C290" s="3" t="str">
        <f aca="false">IF(Worklogs!A290="","",MOD(ROUND(Worklogs!D290/60,0),60))</f>
        <v/>
      </c>
      <c r="D290" s="4" t="str">
        <f aca="false">IF(Worklogs!A290="","",DATEVALUE(LEFT(Worklogs!E290,10)))</f>
        <v/>
      </c>
    </row>
    <row r="291" customFormat="false" ht="15" hidden="false" customHeight="false" outlineLevel="0" collapsed="false">
      <c r="A291" s="2" t="str">
        <f aca="false">IF(Worklogs!A291="","",Worklogs!A291&amp;" "&amp;Worklogs!B291)</f>
        <v/>
      </c>
      <c r="B291" s="3" t="str">
        <f aca="false">IF(Worklogs!A291="","",INT(ROUND(Worklogs!D291/60,0)/60))</f>
        <v/>
      </c>
      <c r="C291" s="3" t="str">
        <f aca="false">IF(Worklogs!A291="","",MOD(ROUND(Worklogs!D291/60,0),60))</f>
        <v/>
      </c>
      <c r="D291" s="4" t="str">
        <f aca="false">IF(Worklogs!A291="","",DATEVALUE(LEFT(Worklogs!E291,10)))</f>
        <v/>
      </c>
    </row>
    <row r="292" customFormat="false" ht="15" hidden="false" customHeight="false" outlineLevel="0" collapsed="false">
      <c r="A292" s="2" t="str">
        <f aca="false">IF(Worklogs!A292="","",Worklogs!A292&amp;" "&amp;Worklogs!B292)</f>
        <v/>
      </c>
      <c r="B292" s="3" t="str">
        <f aca="false">IF(Worklogs!A292="","",INT(ROUND(Worklogs!D292/60,0)/60))</f>
        <v/>
      </c>
      <c r="C292" s="3" t="str">
        <f aca="false">IF(Worklogs!A292="","",MOD(ROUND(Worklogs!D292/60,0),60))</f>
        <v/>
      </c>
      <c r="D292" s="4" t="str">
        <f aca="false">IF(Worklogs!A292="","",DATEVALUE(LEFT(Worklogs!E292,10)))</f>
        <v/>
      </c>
    </row>
    <row r="293" customFormat="false" ht="15" hidden="false" customHeight="false" outlineLevel="0" collapsed="false">
      <c r="A293" s="2" t="str">
        <f aca="false">IF(Worklogs!A293="","",Worklogs!A293&amp;" "&amp;Worklogs!B293)</f>
        <v/>
      </c>
      <c r="B293" s="3" t="str">
        <f aca="false">IF(Worklogs!A293="","",INT(ROUND(Worklogs!D293/60,0)/60))</f>
        <v/>
      </c>
      <c r="C293" s="3" t="str">
        <f aca="false">IF(Worklogs!A293="","",MOD(ROUND(Worklogs!D293/60,0),60))</f>
        <v/>
      </c>
      <c r="D293" s="4" t="str">
        <f aca="false">IF(Worklogs!A293="","",DATEVALUE(LEFT(Worklogs!E293,10)))</f>
        <v/>
      </c>
    </row>
    <row r="294" customFormat="false" ht="15" hidden="false" customHeight="false" outlineLevel="0" collapsed="false">
      <c r="A294" s="2" t="str">
        <f aca="false">IF(Worklogs!A294="","",Worklogs!A294&amp;" "&amp;Worklogs!B294)</f>
        <v/>
      </c>
      <c r="B294" s="3" t="str">
        <f aca="false">IF(Worklogs!A294="","",INT(ROUND(Worklogs!D294/60,0)/60))</f>
        <v/>
      </c>
      <c r="C294" s="3" t="str">
        <f aca="false">IF(Worklogs!A294="","",MOD(ROUND(Worklogs!D294/60,0),60))</f>
        <v/>
      </c>
      <c r="D294" s="4" t="str">
        <f aca="false">IF(Worklogs!A294="","",DATEVALUE(LEFT(Worklogs!E294,10)))</f>
        <v/>
      </c>
    </row>
    <row r="295" customFormat="false" ht="15" hidden="false" customHeight="false" outlineLevel="0" collapsed="false">
      <c r="A295" s="2" t="str">
        <f aca="false">IF(Worklogs!A295="","",Worklogs!A295&amp;" "&amp;Worklogs!B295)</f>
        <v/>
      </c>
      <c r="B295" s="3" t="str">
        <f aca="false">IF(Worklogs!A295="","",INT(ROUND(Worklogs!D295/60,0)/60))</f>
        <v/>
      </c>
      <c r="C295" s="3" t="str">
        <f aca="false">IF(Worklogs!A295="","",MOD(ROUND(Worklogs!D295/60,0),60))</f>
        <v/>
      </c>
      <c r="D295" s="4" t="str">
        <f aca="false">IF(Worklogs!A295="","",DATEVALUE(LEFT(Worklogs!E295,10)))</f>
        <v/>
      </c>
    </row>
    <row r="296" customFormat="false" ht="15" hidden="false" customHeight="false" outlineLevel="0" collapsed="false">
      <c r="A296" s="2" t="str">
        <f aca="false">IF(Worklogs!A296="","",Worklogs!A296&amp;" "&amp;Worklogs!B296)</f>
        <v/>
      </c>
      <c r="B296" s="3" t="str">
        <f aca="false">IF(Worklogs!A296="","",INT(ROUND(Worklogs!D296/60,0)/60))</f>
        <v/>
      </c>
      <c r="C296" s="3" t="str">
        <f aca="false">IF(Worklogs!A296="","",MOD(ROUND(Worklogs!D296/60,0),60))</f>
        <v/>
      </c>
      <c r="D296" s="4" t="str">
        <f aca="false">IF(Worklogs!A296="","",DATEVALUE(LEFT(Worklogs!E296,10)))</f>
        <v/>
      </c>
    </row>
    <row r="297" customFormat="false" ht="15" hidden="false" customHeight="false" outlineLevel="0" collapsed="false">
      <c r="A297" s="2" t="str">
        <f aca="false">IF(Worklogs!A297="","",Worklogs!A297&amp;" "&amp;Worklogs!B297)</f>
        <v/>
      </c>
      <c r="B297" s="3" t="str">
        <f aca="false">IF(Worklogs!A297="","",INT(ROUND(Worklogs!D297/60,0)/60))</f>
        <v/>
      </c>
      <c r="C297" s="3" t="str">
        <f aca="false">IF(Worklogs!A297="","",MOD(ROUND(Worklogs!D297/60,0),60))</f>
        <v/>
      </c>
      <c r="D297" s="4" t="str">
        <f aca="false">IF(Worklogs!A297="","",DATEVALUE(LEFT(Worklogs!E297,10)))</f>
        <v/>
      </c>
    </row>
    <row r="298" customFormat="false" ht="15" hidden="false" customHeight="false" outlineLevel="0" collapsed="false">
      <c r="A298" s="2" t="str">
        <f aca="false">IF(Worklogs!A298="","",Worklogs!A298&amp;" "&amp;Worklogs!B298)</f>
        <v/>
      </c>
      <c r="B298" s="3" t="str">
        <f aca="false">IF(Worklogs!A298="","",INT(ROUND(Worklogs!D298/60,0)/60))</f>
        <v/>
      </c>
      <c r="C298" s="3" t="str">
        <f aca="false">IF(Worklogs!A298="","",MOD(ROUND(Worklogs!D298/60,0),60))</f>
        <v/>
      </c>
      <c r="D298" s="4" t="str">
        <f aca="false">IF(Worklogs!A298="","",DATEVALUE(LEFT(Worklogs!E298,10)))</f>
        <v/>
      </c>
    </row>
    <row r="299" customFormat="false" ht="15" hidden="false" customHeight="false" outlineLevel="0" collapsed="false">
      <c r="A299" s="2" t="str">
        <f aca="false">IF(Worklogs!A299="","",Worklogs!A299&amp;" "&amp;Worklogs!B299)</f>
        <v/>
      </c>
      <c r="B299" s="3" t="str">
        <f aca="false">IF(Worklogs!A299="","",INT(ROUND(Worklogs!D299/60,0)/60))</f>
        <v/>
      </c>
      <c r="C299" s="3" t="str">
        <f aca="false">IF(Worklogs!A299="","",MOD(ROUND(Worklogs!D299/60,0),60))</f>
        <v/>
      </c>
      <c r="D299" s="4" t="str">
        <f aca="false">IF(Worklogs!A299="","",DATEVALUE(LEFT(Worklogs!E299,10)))</f>
        <v/>
      </c>
    </row>
    <row r="300" customFormat="false" ht="15" hidden="false" customHeight="false" outlineLevel="0" collapsed="false">
      <c r="A300" s="2" t="str">
        <f aca="false">IF(Worklogs!A300="","",Worklogs!A300&amp;" "&amp;Worklogs!B300)</f>
        <v/>
      </c>
      <c r="B300" s="3" t="str">
        <f aca="false">IF(Worklogs!A300="","",INT(ROUND(Worklogs!D300/60,0)/60))</f>
        <v/>
      </c>
      <c r="C300" s="3" t="str">
        <f aca="false">IF(Worklogs!A300="","",MOD(ROUND(Worklogs!D300/60,0),60))</f>
        <v/>
      </c>
      <c r="D300" s="4" t="str">
        <f aca="false">IF(Worklogs!A300="","",DATEVALUE(LEFT(Worklogs!E300,10)))</f>
        <v/>
      </c>
    </row>
    <row r="301" customFormat="false" ht="15" hidden="false" customHeight="false" outlineLevel="0" collapsed="false">
      <c r="A301" s="2" t="str">
        <f aca="false">IF(Worklogs!A301="","",Worklogs!A301&amp;" "&amp;Worklogs!B301)</f>
        <v/>
      </c>
      <c r="B301" s="3" t="str">
        <f aca="false">IF(Worklogs!A301="","",INT(ROUND(Worklogs!D301/60,0)/60))</f>
        <v/>
      </c>
      <c r="C301" s="3" t="str">
        <f aca="false">IF(Worklogs!A301="","",MOD(ROUND(Worklogs!D301/60,0),60))</f>
        <v/>
      </c>
      <c r="D301" s="4" t="str">
        <f aca="false">IF(Worklogs!A301="","",DATEVALUE(LEFT(Worklogs!E301,10)))</f>
        <v/>
      </c>
    </row>
  </sheetData>
  <conditionalFormatting sqref="A2:D301">
    <cfRule type="expression" priority="2" aboveAverage="0" equalAverage="0" bottom="0" percent="0" rank="0" text="" dxfId="0">
      <formula>$A2&lt;&gt;""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5</v>
      </c>
      <c r="C1" s="0" t="s">
        <v>2</v>
      </c>
      <c r="D1" s="0" t="s">
        <v>3</v>
      </c>
      <c r="E1" s="0" t="s">
        <v>37</v>
      </c>
      <c r="F1" s="0" t="s">
        <v>38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  <c r="L1" s="0" t="s">
        <v>11</v>
      </c>
      <c r="M1" s="0" t="s">
        <v>257</v>
      </c>
      <c r="N1" s="0" t="s">
        <v>258</v>
      </c>
      <c r="O1" s="0" t="s">
        <v>259</v>
      </c>
      <c r="P1" s="0" t="s">
        <v>260</v>
      </c>
      <c r="Q1" s="0" t="s">
        <v>261</v>
      </c>
      <c r="R1" s="0" t="s">
        <v>262</v>
      </c>
      <c r="S1" s="0" t="s">
        <v>263</v>
      </c>
      <c r="T1" s="0" t="s">
        <v>264</v>
      </c>
      <c r="U1" s="0" t="s">
        <v>265</v>
      </c>
      <c r="V1" s="0" t="s">
        <v>266</v>
      </c>
      <c r="W1" s="0" t="s">
        <v>267</v>
      </c>
      <c r="X1" s="0" t="s">
        <v>268</v>
      </c>
      <c r="Y1" s="0" t="s">
        <v>269</v>
      </c>
      <c r="Z1" s="0" t="s">
        <v>270</v>
      </c>
      <c r="AA1" s="0" t="s">
        <v>271</v>
      </c>
      <c r="AB1" s="0" t="s">
        <v>272</v>
      </c>
      <c r="AC1" s="0" t="s">
        <v>273</v>
      </c>
      <c r="AD1" s="0" t="s">
        <v>274</v>
      </c>
      <c r="AE1" s="0" t="s">
        <v>275</v>
      </c>
      <c r="AF1" s="0" t="s">
        <v>276</v>
      </c>
      <c r="AG1" s="0" t="s">
        <v>277</v>
      </c>
      <c r="AH1" s="0" t="s">
        <v>278</v>
      </c>
      <c r="AI1" s="0" t="s">
        <v>279</v>
      </c>
      <c r="AJ1" s="0" t="s">
        <v>280</v>
      </c>
      <c r="AK1" s="0" t="s">
        <v>281</v>
      </c>
      <c r="AL1" s="0" t="s">
        <v>282</v>
      </c>
      <c r="AM1" s="0" t="s">
        <v>283</v>
      </c>
      <c r="AN1" s="0" t="s">
        <v>284</v>
      </c>
      <c r="AO1" s="0" t="s">
        <v>285</v>
      </c>
      <c r="AP1" s="0" t="s">
        <v>286</v>
      </c>
    </row>
    <row r="2" customFormat="false" ht="15" hidden="false" customHeight="false" outlineLevel="0" collapsed="false">
      <c r="A2" s="0" t="s">
        <v>51</v>
      </c>
      <c r="B2" s="0" t="s">
        <v>50</v>
      </c>
      <c r="C2" s="0" t="n">
        <v>117.133</v>
      </c>
      <c r="D2" s="0" t="n">
        <v>421680</v>
      </c>
      <c r="E2" s="0" t="n">
        <v>117.133</v>
      </c>
      <c r="F2" s="0" t="n">
        <v>421680</v>
      </c>
      <c r="G2" s="0" t="n">
        <v>0</v>
      </c>
      <c r="H2" s="0" t="n">
        <v>0</v>
      </c>
      <c r="I2" s="0" t="n">
        <v>176</v>
      </c>
      <c r="J2" s="0" t="n">
        <v>633600</v>
      </c>
      <c r="K2" s="0" t="n">
        <v>67</v>
      </c>
      <c r="L2" s="0" t="s">
        <v>287</v>
      </c>
      <c r="M2" s="0" t="n">
        <v>6.333</v>
      </c>
      <c r="N2" s="0" t="n">
        <v>7.5</v>
      </c>
      <c r="O2" s="0" t="n">
        <v>8</v>
      </c>
      <c r="P2" s="0" t="n">
        <v>7.8</v>
      </c>
      <c r="Q2" s="0" t="n">
        <v>0</v>
      </c>
      <c r="R2" s="0" t="n">
        <v>0</v>
      </c>
      <c r="S2" s="0" t="n">
        <v>6</v>
      </c>
      <c r="T2" s="0" t="n">
        <v>6.167</v>
      </c>
      <c r="U2" s="0" t="n">
        <v>6</v>
      </c>
      <c r="V2" s="0" t="n">
        <v>6.333</v>
      </c>
      <c r="W2" s="0" t="n">
        <v>8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7</v>
      </c>
      <c r="AH2" s="0" t="n">
        <v>4.5</v>
      </c>
      <c r="AI2" s="0" t="n">
        <v>7</v>
      </c>
      <c r="AJ2" s="0" t="n">
        <v>7</v>
      </c>
      <c r="AK2" s="0" t="n">
        <v>7.5</v>
      </c>
      <c r="AL2" s="0" t="n">
        <v>0</v>
      </c>
      <c r="AM2" s="0" t="n">
        <v>0</v>
      </c>
      <c r="AN2" s="0" t="n">
        <v>8</v>
      </c>
      <c r="AO2" s="0" t="n">
        <v>7</v>
      </c>
      <c r="AP2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2026-10-01T19:02:15Z</dcterms:created>
  <dc:creator>openpyxl</dc:creator>
  <dc:description/>
  <dc:language>en-US</dc:language>
  <cp:lastModifiedBy/>
  <dcterms:modified xsi:type="dcterms:W3CDTF">2026-10-01T19:02:15Z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