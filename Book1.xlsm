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kshu\Downloads\"/>
    </mc:Choice>
  </mc:AlternateContent>
  <xr:revisionPtr revIDLastSave="0" documentId="13_ncr:1_{8935CC07-1AEB-4C7A-80B4-F76999ACF5B6}" xr6:coauthVersionLast="47" xr6:coauthVersionMax="47" xr10:uidLastSave="{00000000-0000-0000-0000-000000000000}"/>
  <bookViews>
    <workbookView xWindow="-108" yWindow="-108" windowWidth="23256" windowHeight="12456" activeTab="3" xr2:uid="{719C5805-F0E9-4513-B977-30026D969EA7}"/>
  </bookViews>
  <sheets>
    <sheet name="1" sheetId="3" r:id="rId1"/>
    <sheet name="AuthorMap" sheetId="4" state="veryHidden" r:id="rId2"/>
    <sheet name="Data" sheetId="5" r:id="rId3"/>
    <sheet name="Weekly Report" sheetId="6" r:id="rId4"/>
    <sheet name="Tickets Created This Week" sheetId="7" r:id="rId5"/>
    <sheet name="Author Summary (Anonymized)" sheetId="8" r:id="rId6"/>
    <sheet name="Dashboard" sheetId="9" r:id="rId7"/>
    <sheet name="Internal Ref - DO NOT SHARE" sheetId="10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" i="9" l="1"/>
  <c r="H5" i="9"/>
  <c r="E11" i="9"/>
  <c r="E10" i="9"/>
  <c r="E9" i="9"/>
  <c r="E8" i="9"/>
  <c r="E7" i="9"/>
  <c r="E6" i="9"/>
  <c r="E5" i="9"/>
  <c r="B9" i="9"/>
  <c r="B8" i="9"/>
  <c r="B7" i="9"/>
  <c r="B6" i="9"/>
  <c r="B5" i="9"/>
  <c r="G12" i="8"/>
  <c r="F12" i="8"/>
  <c r="E12" i="8"/>
  <c r="D12" i="8"/>
  <c r="C12" i="8"/>
  <c r="B12" i="8"/>
  <c r="G11" i="8"/>
  <c r="F11" i="8"/>
  <c r="E11" i="8"/>
  <c r="D11" i="8"/>
  <c r="C11" i="8"/>
  <c r="B11" i="8"/>
  <c r="G10" i="8"/>
  <c r="F10" i="8"/>
  <c r="E10" i="8"/>
  <c r="D10" i="8"/>
  <c r="C10" i="8"/>
  <c r="B10" i="8"/>
  <c r="G9" i="8"/>
  <c r="F9" i="8"/>
  <c r="E9" i="8"/>
  <c r="D9" i="8"/>
  <c r="C9" i="8"/>
  <c r="B9" i="8"/>
  <c r="G8" i="8"/>
  <c r="F8" i="8"/>
  <c r="E8" i="8"/>
  <c r="D8" i="8"/>
  <c r="C8" i="8"/>
  <c r="B8" i="8"/>
  <c r="G7" i="8"/>
  <c r="F7" i="8"/>
  <c r="E7" i="8"/>
  <c r="D7" i="8"/>
  <c r="C7" i="8"/>
  <c r="B7" i="8"/>
  <c r="G6" i="8"/>
  <c r="F6" i="8"/>
  <c r="E6" i="8"/>
  <c r="D6" i="8"/>
  <c r="C6" i="8"/>
  <c r="B6" i="8"/>
  <c r="G5" i="8"/>
  <c r="F5" i="8"/>
  <c r="E5" i="8"/>
  <c r="D5" i="8"/>
  <c r="C5" i="8"/>
  <c r="B5" i="8"/>
  <c r="D60" i="6"/>
  <c r="A60" i="6"/>
  <c r="D59" i="6"/>
  <c r="C59" i="6"/>
  <c r="D58" i="6"/>
  <c r="C58" i="6"/>
  <c r="D57" i="6"/>
  <c r="C57" i="6"/>
  <c r="D56" i="6"/>
  <c r="C56" i="6"/>
  <c r="D55" i="6"/>
  <c r="C55" i="6"/>
  <c r="D54" i="6"/>
  <c r="C54" i="6"/>
  <c r="D53" i="6"/>
  <c r="C53" i="6"/>
  <c r="D49" i="6"/>
  <c r="A49" i="6"/>
  <c r="D48" i="6"/>
  <c r="C48" i="6"/>
  <c r="D47" i="6"/>
  <c r="C47" i="6"/>
  <c r="D46" i="6"/>
  <c r="C46" i="6"/>
  <c r="D45" i="6"/>
  <c r="C45" i="6"/>
  <c r="D44" i="6"/>
  <c r="C44" i="6"/>
  <c r="D43" i="6"/>
  <c r="C43" i="6"/>
  <c r="D42" i="6"/>
  <c r="C42" i="6"/>
  <c r="D38" i="6"/>
  <c r="A38" i="6"/>
  <c r="D37" i="6"/>
  <c r="C37" i="6"/>
  <c r="D36" i="6"/>
  <c r="C36" i="6"/>
  <c r="D35" i="6"/>
  <c r="C35" i="6"/>
  <c r="D34" i="6"/>
  <c r="C34" i="6"/>
  <c r="D33" i="6"/>
  <c r="C33" i="6"/>
  <c r="D32" i="6"/>
  <c r="C32" i="6"/>
  <c r="D31" i="6"/>
  <c r="C31" i="6"/>
  <c r="D27" i="6"/>
  <c r="A27" i="6"/>
  <c r="D26" i="6"/>
  <c r="C26" i="6"/>
  <c r="D25" i="6"/>
  <c r="C25" i="6"/>
  <c r="D24" i="6"/>
  <c r="C24" i="6"/>
  <c r="D23" i="6"/>
  <c r="C23" i="6"/>
  <c r="D22" i="6"/>
  <c r="C22" i="6"/>
  <c r="D21" i="6"/>
  <c r="C21" i="6"/>
  <c r="D20" i="6"/>
  <c r="C20" i="6"/>
  <c r="D19" i="6"/>
  <c r="C19" i="6"/>
  <c r="D18" i="6"/>
  <c r="C18" i="6"/>
  <c r="D17" i="6"/>
  <c r="C17" i="6"/>
  <c r="D16" i="6"/>
  <c r="C16" i="6"/>
  <c r="D12" i="6"/>
  <c r="A12" i="6"/>
  <c r="D11" i="6"/>
  <c r="C11" i="6"/>
  <c r="D10" i="6"/>
  <c r="C10" i="6"/>
  <c r="D9" i="6"/>
  <c r="C9" i="6"/>
  <c r="D8" i="6"/>
  <c r="C8" i="6"/>
  <c r="D7" i="6"/>
  <c r="C7" i="6"/>
  <c r="D6" i="6"/>
  <c r="C6" i="6"/>
  <c r="J121" i="5"/>
  <c r="I121" i="5"/>
  <c r="H121" i="5"/>
  <c r="J120" i="5"/>
  <c r="I120" i="5"/>
  <c r="H120" i="5"/>
  <c r="J119" i="5"/>
  <c r="I119" i="5"/>
  <c r="H119" i="5"/>
  <c r="J118" i="5"/>
  <c r="I118" i="5"/>
  <c r="H118" i="5"/>
  <c r="J117" i="5"/>
  <c r="I117" i="5"/>
  <c r="H117" i="5"/>
  <c r="J116" i="5"/>
  <c r="I116" i="5"/>
  <c r="H116" i="5"/>
  <c r="J115" i="5"/>
  <c r="I115" i="5"/>
  <c r="H115" i="5"/>
  <c r="J114" i="5"/>
  <c r="I114" i="5"/>
  <c r="H114" i="5"/>
  <c r="J113" i="5"/>
  <c r="I113" i="5"/>
  <c r="H113" i="5"/>
  <c r="J112" i="5"/>
  <c r="I112" i="5"/>
  <c r="H112" i="5"/>
  <c r="J111" i="5"/>
  <c r="I111" i="5"/>
  <c r="H111" i="5"/>
  <c r="J110" i="5"/>
  <c r="I110" i="5"/>
  <c r="H110" i="5"/>
  <c r="J109" i="5"/>
  <c r="I109" i="5"/>
  <c r="H109" i="5"/>
  <c r="J108" i="5"/>
  <c r="I108" i="5"/>
  <c r="H108" i="5"/>
  <c r="J107" i="5"/>
  <c r="I107" i="5"/>
  <c r="H107" i="5"/>
  <c r="J106" i="5"/>
  <c r="I106" i="5"/>
  <c r="H106" i="5"/>
  <c r="J105" i="5"/>
  <c r="I105" i="5"/>
  <c r="H105" i="5"/>
  <c r="J104" i="5"/>
  <c r="I104" i="5"/>
  <c r="H104" i="5"/>
  <c r="J103" i="5"/>
  <c r="I103" i="5"/>
  <c r="H103" i="5"/>
  <c r="J102" i="5"/>
  <c r="I102" i="5"/>
  <c r="H102" i="5"/>
  <c r="J101" i="5"/>
  <c r="I101" i="5"/>
  <c r="H101" i="5"/>
  <c r="J100" i="5"/>
  <c r="I100" i="5"/>
  <c r="H100" i="5"/>
  <c r="J99" i="5"/>
  <c r="I99" i="5"/>
  <c r="H99" i="5"/>
  <c r="J98" i="5"/>
  <c r="I98" i="5"/>
  <c r="H98" i="5"/>
  <c r="J97" i="5"/>
  <c r="I97" i="5"/>
  <c r="H97" i="5"/>
  <c r="J96" i="5"/>
  <c r="I96" i="5"/>
  <c r="H96" i="5"/>
  <c r="J95" i="5"/>
  <c r="I95" i="5"/>
  <c r="H95" i="5"/>
  <c r="J94" i="5"/>
  <c r="I94" i="5"/>
  <c r="H94" i="5"/>
  <c r="J93" i="5"/>
  <c r="I93" i="5"/>
  <c r="H93" i="5"/>
  <c r="J92" i="5"/>
  <c r="I92" i="5"/>
  <c r="H92" i="5"/>
  <c r="J91" i="5"/>
  <c r="I91" i="5"/>
  <c r="H91" i="5"/>
  <c r="J90" i="5"/>
  <c r="I90" i="5"/>
  <c r="H90" i="5"/>
  <c r="J89" i="5"/>
  <c r="I89" i="5"/>
  <c r="H89" i="5"/>
  <c r="J88" i="5"/>
  <c r="I88" i="5"/>
  <c r="H88" i="5"/>
  <c r="J87" i="5"/>
  <c r="I87" i="5"/>
  <c r="H87" i="5"/>
  <c r="J86" i="5"/>
  <c r="I86" i="5"/>
  <c r="H86" i="5"/>
  <c r="J85" i="5"/>
  <c r="I85" i="5"/>
  <c r="H85" i="5"/>
  <c r="J84" i="5"/>
  <c r="I84" i="5"/>
  <c r="H84" i="5"/>
  <c r="J83" i="5"/>
  <c r="I83" i="5"/>
  <c r="H83" i="5"/>
  <c r="J82" i="5"/>
  <c r="I82" i="5"/>
  <c r="H82" i="5"/>
  <c r="J81" i="5"/>
  <c r="I81" i="5"/>
  <c r="H81" i="5"/>
  <c r="J80" i="5"/>
  <c r="I80" i="5"/>
  <c r="H80" i="5"/>
  <c r="J79" i="5"/>
  <c r="I79" i="5"/>
  <c r="H79" i="5"/>
  <c r="J78" i="5"/>
  <c r="I78" i="5"/>
  <c r="H78" i="5"/>
  <c r="J77" i="5"/>
  <c r="I77" i="5"/>
  <c r="H77" i="5"/>
  <c r="J76" i="5"/>
  <c r="I76" i="5"/>
  <c r="H76" i="5"/>
  <c r="J75" i="5"/>
  <c r="I75" i="5"/>
  <c r="H75" i="5"/>
  <c r="J74" i="5"/>
  <c r="I74" i="5"/>
  <c r="H74" i="5"/>
  <c r="J73" i="5"/>
  <c r="I73" i="5"/>
  <c r="H73" i="5"/>
  <c r="J72" i="5"/>
  <c r="I72" i="5"/>
  <c r="H72" i="5"/>
  <c r="J71" i="5"/>
  <c r="I71" i="5"/>
  <c r="H71" i="5"/>
  <c r="J70" i="5"/>
  <c r="I70" i="5"/>
  <c r="H70" i="5"/>
  <c r="J69" i="5"/>
  <c r="I69" i="5"/>
  <c r="H69" i="5"/>
  <c r="J68" i="5"/>
  <c r="I68" i="5"/>
  <c r="H68" i="5"/>
  <c r="J67" i="5"/>
  <c r="I67" i="5"/>
  <c r="H67" i="5"/>
  <c r="J66" i="5"/>
  <c r="I66" i="5"/>
  <c r="H66" i="5"/>
  <c r="J65" i="5"/>
  <c r="I65" i="5"/>
  <c r="H65" i="5"/>
  <c r="J64" i="5"/>
  <c r="I64" i="5"/>
  <c r="H64" i="5"/>
  <c r="J63" i="5"/>
  <c r="I63" i="5"/>
  <c r="H63" i="5"/>
  <c r="J62" i="5"/>
  <c r="I62" i="5"/>
  <c r="H62" i="5"/>
  <c r="J61" i="5"/>
  <c r="I61" i="5"/>
  <c r="H61" i="5"/>
  <c r="J60" i="5"/>
  <c r="I60" i="5"/>
  <c r="H60" i="5"/>
  <c r="J59" i="5"/>
  <c r="I59" i="5"/>
  <c r="H59" i="5"/>
  <c r="J58" i="5"/>
  <c r="I58" i="5"/>
  <c r="H58" i="5"/>
  <c r="J57" i="5"/>
  <c r="I57" i="5"/>
  <c r="H57" i="5"/>
  <c r="J56" i="5"/>
  <c r="I56" i="5"/>
  <c r="H56" i="5"/>
  <c r="J55" i="5"/>
  <c r="I55" i="5"/>
  <c r="H55" i="5"/>
  <c r="J54" i="5"/>
  <c r="I54" i="5"/>
  <c r="H54" i="5"/>
  <c r="J53" i="5"/>
  <c r="I53" i="5"/>
  <c r="H53" i="5"/>
  <c r="J52" i="5"/>
  <c r="I52" i="5"/>
  <c r="H52" i="5"/>
  <c r="J51" i="5"/>
  <c r="I51" i="5"/>
  <c r="H51" i="5"/>
  <c r="J50" i="5"/>
  <c r="I50" i="5"/>
  <c r="H50" i="5"/>
  <c r="J49" i="5"/>
  <c r="I49" i="5"/>
  <c r="H49" i="5"/>
  <c r="J48" i="5"/>
  <c r="I48" i="5"/>
  <c r="H48" i="5"/>
  <c r="J47" i="5"/>
  <c r="I47" i="5"/>
  <c r="H47" i="5"/>
  <c r="J46" i="5"/>
  <c r="I46" i="5"/>
  <c r="H46" i="5"/>
  <c r="J45" i="5"/>
  <c r="I45" i="5"/>
  <c r="H45" i="5"/>
  <c r="J44" i="5"/>
  <c r="I44" i="5"/>
  <c r="H44" i="5"/>
  <c r="J43" i="5"/>
  <c r="I43" i="5"/>
  <c r="H43" i="5"/>
  <c r="J42" i="5"/>
  <c r="I42" i="5"/>
  <c r="H42" i="5"/>
  <c r="J41" i="5"/>
  <c r="I41" i="5"/>
  <c r="H41" i="5"/>
  <c r="J40" i="5"/>
  <c r="I40" i="5"/>
  <c r="H40" i="5"/>
  <c r="J39" i="5"/>
  <c r="I39" i="5"/>
  <c r="H39" i="5"/>
  <c r="J38" i="5"/>
  <c r="I38" i="5"/>
  <c r="H38" i="5"/>
  <c r="J37" i="5"/>
  <c r="I37" i="5"/>
  <c r="H37" i="5"/>
  <c r="J36" i="5"/>
  <c r="I36" i="5"/>
  <c r="H36" i="5"/>
  <c r="J35" i="5"/>
  <c r="I35" i="5"/>
  <c r="H35" i="5"/>
  <c r="J34" i="5"/>
  <c r="I34" i="5"/>
  <c r="H34" i="5"/>
  <c r="J33" i="5"/>
  <c r="I33" i="5"/>
  <c r="H33" i="5"/>
  <c r="J32" i="5"/>
  <c r="I32" i="5"/>
  <c r="H32" i="5"/>
  <c r="J31" i="5"/>
  <c r="I31" i="5"/>
  <c r="H31" i="5"/>
  <c r="J30" i="5"/>
  <c r="I30" i="5"/>
  <c r="H30" i="5"/>
  <c r="J29" i="5"/>
  <c r="I29" i="5"/>
  <c r="H29" i="5"/>
  <c r="J28" i="5"/>
  <c r="I28" i="5"/>
  <c r="H28" i="5"/>
  <c r="J27" i="5"/>
  <c r="I27" i="5"/>
  <c r="H27" i="5"/>
  <c r="J26" i="5"/>
  <c r="I26" i="5"/>
  <c r="H26" i="5"/>
  <c r="J25" i="5"/>
  <c r="I25" i="5"/>
  <c r="H25" i="5"/>
  <c r="J24" i="5"/>
  <c r="I24" i="5"/>
  <c r="H24" i="5"/>
  <c r="J23" i="5"/>
  <c r="I23" i="5"/>
  <c r="H23" i="5"/>
  <c r="J22" i="5"/>
  <c r="I22" i="5"/>
  <c r="H22" i="5"/>
  <c r="J21" i="5"/>
  <c r="I21" i="5"/>
  <c r="H21" i="5"/>
  <c r="J20" i="5"/>
  <c r="I20" i="5"/>
  <c r="H20" i="5"/>
  <c r="J19" i="5"/>
  <c r="I19" i="5"/>
  <c r="H19" i="5"/>
  <c r="J18" i="5"/>
  <c r="I18" i="5"/>
  <c r="H18" i="5"/>
  <c r="J17" i="5"/>
  <c r="I17" i="5"/>
  <c r="H17" i="5"/>
  <c r="J16" i="5"/>
  <c r="I16" i="5"/>
  <c r="H16" i="5"/>
  <c r="J15" i="5"/>
  <c r="I15" i="5"/>
  <c r="H15" i="5"/>
  <c r="J14" i="5"/>
  <c r="I14" i="5"/>
  <c r="H14" i="5"/>
  <c r="J13" i="5"/>
  <c r="I13" i="5"/>
  <c r="H13" i="5"/>
  <c r="J12" i="5"/>
  <c r="I12" i="5"/>
  <c r="H12" i="5"/>
  <c r="J11" i="5"/>
  <c r="I11" i="5"/>
  <c r="H11" i="5"/>
  <c r="J10" i="5"/>
  <c r="I10" i="5"/>
  <c r="H10" i="5"/>
  <c r="J9" i="5"/>
  <c r="I9" i="5"/>
  <c r="H9" i="5"/>
  <c r="J8" i="5"/>
  <c r="I8" i="5"/>
  <c r="H8" i="5"/>
  <c r="J7" i="5"/>
  <c r="I7" i="5"/>
  <c r="H7" i="5"/>
  <c r="J6" i="5"/>
  <c r="I6" i="5"/>
  <c r="H6" i="5"/>
  <c r="J5" i="5"/>
  <c r="I5" i="5"/>
  <c r="H5" i="5"/>
  <c r="J4" i="5"/>
  <c r="I4" i="5"/>
  <c r="H4" i="5"/>
  <c r="J3" i="5"/>
  <c r="I3" i="5"/>
  <c r="H3" i="5"/>
  <c r="J2" i="5"/>
  <c r="I2" i="5"/>
  <c r="H2" i="5"/>
</calcChain>
</file>

<file path=xl/sharedStrings.xml><?xml version="1.0" encoding="utf-8"?>
<sst xmlns="http://schemas.openxmlformats.org/spreadsheetml/2006/main" count="938" uniqueCount="97">
  <si>
    <t>Priority</t>
  </si>
  <si>
    <t>CWL-2916</t>
  </si>
  <si>
    <t>Ad hoc: August</t>
  </si>
  <si>
    <t>Daundkar, Mukul External</t>
  </si>
  <si>
    <t>TICKET ACKNOWLEDGEMENT</t>
  </si>
  <si>
    <t>Low</t>
  </si>
  <si>
    <t>Shinde, Sayali External</t>
  </si>
  <si>
    <t>Joshi, Chaitanya External</t>
  </si>
  <si>
    <t>CWL-2890</t>
  </si>
  <si>
    <t>2026_S3_LC Virto Charger Go - Web page updates</t>
  </si>
  <si>
    <t>Yamanollu, Anjaneyulu External</t>
  </si>
  <si>
    <t>DONE</t>
  </si>
  <si>
    <t>Medium</t>
  </si>
  <si>
    <t>Kale, Sonali External</t>
  </si>
  <si>
    <t>Shirvatkar, Yadnesh External</t>
  </si>
  <si>
    <t>CWL-2869</t>
  </si>
  <si>
    <t>HT_Website_PhaseoutUpdate-June26</t>
  </si>
  <si>
    <t>Shinde, Dakshata External</t>
  </si>
  <si>
    <t>CWL-2464</t>
  </si>
  <si>
    <t>Move Phonak Hearing Stories to new Blog Component</t>
  </si>
  <si>
    <t>IN PROGRESS</t>
  </si>
  <si>
    <t>CWL-2920</t>
  </si>
  <si>
    <t>HT_Website_France-S3-2026 Update</t>
  </si>
  <si>
    <t>WAITING FOR APPROVAL (MIGRATED)</t>
  </si>
  <si>
    <t>CWL-2919</t>
  </si>
  <si>
    <t>HT_Website_International_PL-Userguide-Upload</t>
  </si>
  <si>
    <t>CWL-2921</t>
  </si>
  <si>
    <t>Create a new "Conditions Générales de Vente" page for each webiste brand and add a footer link on the French Phonak, Unitron and Hansaton websites</t>
  </si>
  <si>
    <t>APPROVED FOR ACTIVATION</t>
  </si>
  <si>
    <t>CWL-2922</t>
  </si>
  <si>
    <t>Phonak JP Contents Update_discontinuedProductList</t>
  </si>
  <si>
    <t>CWL-2910</t>
  </si>
  <si>
    <t>Updating customer information on the Unitron website</t>
  </si>
  <si>
    <t>CWL-2889</t>
  </si>
  <si>
    <t>New Roger On page for the launch S3-26</t>
  </si>
  <si>
    <t>CWL-2923</t>
  </si>
  <si>
    <t>Request form update</t>
  </si>
  <si>
    <t>CWL-2918</t>
  </si>
  <si>
    <t>(cwl)Need to add a new Roger evidence</t>
  </si>
  <si>
    <t>CWL-2912</t>
  </si>
  <si>
    <t>New WCB Manitoba grid version</t>
  </si>
  <si>
    <t>CWL-2924</t>
  </si>
  <si>
    <t>Roger VIP Launch Event - Landing Page</t>
  </si>
  <si>
    <t>CWL-2927</t>
  </si>
  <si>
    <t>Add Wang journal to evidence library webpage</t>
  </si>
  <si>
    <t>CWL-2926</t>
  </si>
  <si>
    <t>Brazil Hansaton Website Update - User Guides</t>
  </si>
  <si>
    <t>CWL-2925</t>
  </si>
  <si>
    <t>Removal of components Moxi V-RS</t>
  </si>
  <si>
    <t>Summary</t>
  </si>
  <si>
    <t>Status</t>
  </si>
  <si>
    <t>In Progress</t>
  </si>
  <si>
    <t>Done</t>
  </si>
  <si>
    <t>RealName</t>
  </si>
  <si>
    <t>UserID</t>
  </si>
  <si>
    <t>User 1</t>
  </si>
  <si>
    <t>User 2</t>
  </si>
  <si>
    <t>User 3</t>
  </si>
  <si>
    <t>User 4</t>
  </si>
  <si>
    <t>User 5</t>
  </si>
  <si>
    <t>User 6</t>
  </si>
  <si>
    <t>User 7</t>
  </si>
  <si>
    <t>Date</t>
  </si>
  <si>
    <t>Ticket Key</t>
  </si>
  <si>
    <t>Hours</t>
  </si>
  <si>
    <t>AuthorID</t>
  </si>
  <si>
    <t>FirstAuthorTicketDay</t>
  </si>
  <si>
    <t>FirstAuthorDay</t>
  </si>
  <si>
    <t>FirstTicketWeek</t>
  </si>
  <si>
    <t>Weekly Team Activity Report</t>
  </si>
  <si>
    <t>Week of 2026-08-10 to 2026-08-14  |  Author names withheld, shown as User 1-7  |  Weekends excluded</t>
  </si>
  <si>
    <t>Monday, 2026-08-10    |    Team Availability: 7/7    |    New Tickets Created: 6</t>
  </si>
  <si>
    <t>Authors on Ticket</t>
  </si>
  <si>
    <t>Hours Logged</t>
  </si>
  <si>
    <t>Tuesday, 2026-08-11    |    Team Availability: 7/7    |    New Tickets Created: 6</t>
  </si>
  <si>
    <t>Wednesday, 2026-08-12    |    Team Availability: 7/7    |    New Tickets Created: 0</t>
  </si>
  <si>
    <t>Thursday, 2026-08-13    |    Team Availability: 7/7    |    New Tickets Created: 2</t>
  </si>
  <si>
    <t>Friday, 2026-08-14    |    Team Availability: 6/7    |    New Tickets Created: 3</t>
  </si>
  <si>
    <t>New Tickets Created This Week</t>
  </si>
  <si>
    <t>Created' = first work-log date found in this export, not the Jira issue creation timestamp</t>
  </si>
  <si>
    <t>Date Created</t>
  </si>
  <si>
    <t>Ticket Acknowledgement</t>
  </si>
  <si>
    <t>Waiting For Approval (migrated)</t>
  </si>
  <si>
    <t>Approved For Activation</t>
  </si>
  <si>
    <t>Author Summary (Anonymized)</t>
  </si>
  <si>
    <t>Names withheld; each team member is identified only by an anonymized ID</t>
  </si>
  <si>
    <t>Author ID</t>
  </si>
  <si>
    <t>Total Hours Logged</t>
  </si>
  <si>
    <t>Team Total</t>
  </si>
  <si>
    <t>Weekly Report - Visual Summary</t>
  </si>
  <si>
    <t>Hours Logged Per Day</t>
  </si>
  <si>
    <t>Hours Logged Per Author</t>
  </si>
  <si>
    <t>Tickets By Priority</t>
  </si>
  <si>
    <t>Author</t>
  </si>
  <si>
    <t>Count</t>
  </si>
  <si>
    <t>INTERNAL USE ONLY - remove this sheet before presenting to the team</t>
  </si>
  <si>
    <t>Real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</si>
</sst>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7" x14ac:knownFonts="1">
    <font>
      <sz val="11"/>
      <color theme="1"/>
      <name val="Aptos Narrow"/>
      <family val="2"/>
      <scheme val="minor"/>
    </font>
    <font>
      <b/>
      <sz val="14"/>
      <color theme="1"/>
      <name val="Arial"/>
      <family val="2"/>
    </font>
    <font>
      <i/>
      <sz val="9"/>
      <color rgb="FF595959"/>
      <name val="Arial"/>
      <family val="2"/>
    </font>
    <font>
      <b/>
      <sz val="11"/>
      <color theme="1"/>
      <name val="Arial"/>
      <family val="2"/>
    </font>
    <font>
      <b/>
      <sz val="11"/>
      <color rgb="FF1F4E78"/>
      <name val="Arial"/>
      <family val="2"/>
    </font>
    <font>
      <b/>
      <sz val="11"/>
      <color rgb="FFFFFFFF"/>
      <name val="Arial"/>
      <family val="2"/>
    </font>
    <font>
      <b/>
      <sz val="12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2" borderId="0" xfId="0" applyFont="1" applyFill="1"/>
    <xf numFmtId="0" fontId="6" fillId="0" borderId="0" xfId="0" applyFont="1"/>
    <xf numFmtId="0" fontId="2" fillId="0" borderId="0" xfId="0" quotePrefix="1" applyFont="1"/>
    <xf numFmtId="14" fontId="5" fillId="2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Logged Per Day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Dashboard!$B$4</c:f>
              <c:strCache>
                <c:ptCount val="1"/>
                <c:pt idx="0">
                  <c:v>Hours</c:v>
                </c:pt>
              </c:strCache>
            </c:strRef>
          </c:tx>
          <c:invertIfNegative val="0"/>
          <c:cat>
            <c:numRef>
              <c:f>Dashboard!$A$5:$A$9</c:f>
              <c:numCache>
                <c:formatCode>m/d/yyyy</c:formatCode>
                <c:ptCount val="5"/>
                <c:pt idx="0">
                  <c:v>46244</c:v>
                </c:pt>
                <c:pt idx="1">
                  <c:v>46245</c:v>
                </c:pt>
                <c:pt idx="2">
                  <c:v>46246</c:v>
                </c:pt>
                <c:pt idx="3">
                  <c:v>46247</c:v>
                </c:pt>
                <c:pt idx="4">
                  <c:v>46248</c:v>
                </c:pt>
              </c:numCache>
            </c:numRef>
          </c:cat>
          <c:val>
            <c:numRef>
              <c:f>Dashboard!$B$5:$B$9</c:f>
              <c:numCache>
                <c:formatCode>General</c:formatCode>
                <c:ptCount val="5"/>
                <c:pt idx="0">
                  <c:v>41.02</c:v>
                </c:pt>
                <c:pt idx="1">
                  <c:v>49.67</c:v>
                </c:pt>
                <c:pt idx="2">
                  <c:v>48.33</c:v>
                </c:pt>
                <c:pt idx="3">
                  <c:v>48.5</c:v>
                </c:pt>
                <c:pt idx="4">
                  <c:v>36.25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FA-4810-B377-F2A98934A2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77868240"/>
        <c:axId val="285258448"/>
      </c:barChart>
      <c:dateAx>
        <c:axId val="27786824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285258448"/>
        <c:crosses val="autoZero"/>
        <c:auto val="1"/>
        <c:lblOffset val="100"/>
        <c:baseTimeUnit val="days"/>
      </c:dateAx>
      <c:valAx>
        <c:axId val="285258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786824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Hours Logged Per Author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Dashboard!$E$4</c:f>
              <c:strCache>
                <c:ptCount val="1"/>
                <c:pt idx="0">
                  <c:v>Hours</c:v>
                </c:pt>
              </c:strCache>
            </c:strRef>
          </c:tx>
          <c:invertIfNegative val="0"/>
          <c:cat>
            <c:strRef>
              <c:f>Dashboard!$D$5:$D$11</c:f>
              <c:strCache>
                <c:ptCount val="7"/>
                <c:pt idx="0">
                  <c:v>Daundkar, Mukul External</c:v>
                </c:pt>
                <c:pt idx="1">
                  <c:v>Shinde, Sayali External</c:v>
                </c:pt>
                <c:pt idx="2">
                  <c:v>Joshi, Chaitanya External</c:v>
                </c:pt>
                <c:pt idx="3">
                  <c:v>Yamanollu, Anjaneyulu External</c:v>
                </c:pt>
                <c:pt idx="4">
                  <c:v>Kale, Sonali External</c:v>
                </c:pt>
                <c:pt idx="5">
                  <c:v>Shirvatkar, Yadnesh External</c:v>
                </c:pt>
                <c:pt idx="6">
                  <c:v>Shinde, Dakshata External</c:v>
                </c:pt>
              </c:strCache>
            </c:strRef>
          </c:cat>
          <c:val>
            <c:numRef>
              <c:f>Dashboard!$E$5:$E$11</c:f>
              <c:numCache>
                <c:formatCode>General</c:formatCode>
                <c:ptCount val="7"/>
                <c:pt idx="0">
                  <c:v>33.75</c:v>
                </c:pt>
                <c:pt idx="1">
                  <c:v>30.42</c:v>
                </c:pt>
                <c:pt idx="2">
                  <c:v>27.6</c:v>
                </c:pt>
                <c:pt idx="3">
                  <c:v>35.42</c:v>
                </c:pt>
                <c:pt idx="4">
                  <c:v>36.83</c:v>
                </c:pt>
                <c:pt idx="5">
                  <c:v>26.25</c:v>
                </c:pt>
                <c:pt idx="6">
                  <c:v>33.5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7C-4C54-8D12-737E91B9CD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1595136"/>
        <c:axId val="285263248"/>
      </c:barChart>
      <c:catAx>
        <c:axId val="131595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85263248"/>
        <c:crosses val="autoZero"/>
        <c:auto val="1"/>
        <c:lblAlgn val="ctr"/>
        <c:lblOffset val="100"/>
        <c:noMultiLvlLbl val="0"/>
      </c:catAx>
      <c:valAx>
        <c:axId val="285263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15951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2</xdr:row>
      <xdr:rowOff>0</xdr:rowOff>
    </xdr:from>
    <xdr:to>
      <xdr:col>16</xdr:col>
      <xdr:colOff>177800</xdr:colOff>
      <xdr:row>17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894DCD4-293F-2711-2EC9-456EB3CE73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19</xdr:row>
      <xdr:rowOff>0</xdr:rowOff>
    </xdr:from>
    <xdr:to>
      <xdr:col>16</xdr:col>
      <xdr:colOff>177800</xdr:colOff>
      <xdr:row>34</xdr:row>
      <xdr:rowOff>50800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369C72B-E735-7DC0-EBD3-07DBC48E3E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1C782-C7AC-44A1-ACF1-0CE60488408E}">
  <sheetPr codeName="Sheet3"/>
  <dimension ref="A1"/>
  <sheetViews>
    <sheetView workbookViewId="0">
      <selection activeCell="L8" sqref="L8"/>
    </sheetView>
  </sheetViews>
  <sheetFormatPr defaultRowHeight="14.4" x14ac:dyDescent="0.3"/>
  <cols>
    <col min="1" max="1" width="31.21875" bestFit="1" customWidth="1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7354A-B1ED-448F-8BD0-77031C47380F}">
  <sheetPr codeName="Sheet1"/>
  <dimension ref="A1:B8"/>
  <sheetViews>
    <sheetView workbookViewId="0"/>
  </sheetViews>
  <sheetFormatPr defaultRowHeight="14.4" x14ac:dyDescent="0.3"/>
  <sheetData>
    <row r="1" spans="1:2" x14ac:dyDescent="0.3">
      <c r="A1" t="s">
        <v>53</v>
      </c>
      <c r="B1" t="s">
        <v>54</v>
      </c>
    </row>
    <row r="2" spans="1:2" x14ac:dyDescent="0.3">
      <c r="A2" t="s">
        <v>3</v>
      </c>
      <c r="B2" t="s">
        <v>55</v>
      </c>
    </row>
    <row r="3" spans="1:2" x14ac:dyDescent="0.3">
      <c r="A3" t="s">
        <v>6</v>
      </c>
      <c r="B3" t="s">
        <v>56</v>
      </c>
    </row>
    <row r="4" spans="1:2" x14ac:dyDescent="0.3">
      <c r="A4" t="s">
        <v>7</v>
      </c>
      <c r="B4" t="s">
        <v>57</v>
      </c>
    </row>
    <row r="5" spans="1:2" x14ac:dyDescent="0.3">
      <c r="A5" t="s">
        <v>10</v>
      </c>
      <c r="B5" t="s">
        <v>58</v>
      </c>
    </row>
    <row r="6" spans="1:2" x14ac:dyDescent="0.3">
      <c r="A6" t="s">
        <v>13</v>
      </c>
      <c r="B6" t="s">
        <v>59</v>
      </c>
    </row>
    <row r="7" spans="1:2" x14ac:dyDescent="0.3">
      <c r="A7" t="s">
        <v>14</v>
      </c>
      <c r="B7" t="s">
        <v>60</v>
      </c>
    </row>
    <row r="8" spans="1:2" x14ac:dyDescent="0.3">
      <c r="A8" t="s">
        <v>17</v>
      </c>
      <c r="B8" t="s">
        <v>61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1D24B-5E6D-4ADD-B630-20816E0D0A64}">
  <sheetPr codeName="Sheet2"/>
  <dimension ref="A1:J121"/>
  <sheetViews>
    <sheetView workbookViewId="0"/>
  </sheetViews>
  <sheetFormatPr defaultRowHeight="14.4" x14ac:dyDescent="0.3"/>
  <cols>
    <col min="1" max="1" width="10.33203125" bestFit="1" customWidth="1"/>
    <col min="2" max="2" width="9.44140625" bestFit="1" customWidth="1"/>
    <col min="3" max="3" width="122.77734375" bestFit="1" customWidth="1"/>
    <col min="4" max="4" width="6" bestFit="1" customWidth="1"/>
    <col min="5" max="5" width="8" bestFit="1" customWidth="1"/>
    <col min="6" max="6" width="31.77734375" bestFit="1" customWidth="1"/>
    <col min="7" max="7" width="7.44140625" bestFit="1" customWidth="1"/>
    <col min="8" max="8" width="17.88671875" bestFit="1" customWidth="1"/>
    <col min="9" max="9" width="12.88671875" bestFit="1" customWidth="1"/>
    <col min="10" max="10" width="14" bestFit="1" customWidth="1"/>
  </cols>
  <sheetData>
    <row r="1" spans="1:10" x14ac:dyDescent="0.3">
      <c r="A1" t="s">
        <v>62</v>
      </c>
      <c r="B1" t="s">
        <v>63</v>
      </c>
      <c r="C1" t="s">
        <v>49</v>
      </c>
      <c r="D1" t="s">
        <v>64</v>
      </c>
      <c r="E1" t="s">
        <v>65</v>
      </c>
      <c r="F1" t="s">
        <v>50</v>
      </c>
      <c r="G1" t="s">
        <v>0</v>
      </c>
      <c r="H1" t="s">
        <v>66</v>
      </c>
      <c r="I1" t="s">
        <v>67</v>
      </c>
      <c r="J1" t="s">
        <v>68</v>
      </c>
    </row>
    <row r="2" spans="1:10" x14ac:dyDescent="0.3">
      <c r="A2" s="2">
        <v>46244</v>
      </c>
      <c r="B2" t="s">
        <v>1</v>
      </c>
      <c r="C2" t="s">
        <v>2</v>
      </c>
      <c r="D2">
        <v>1</v>
      </c>
      <c r="E2" t="s">
        <v>55</v>
      </c>
      <c r="F2" t="s">
        <v>4</v>
      </c>
      <c r="G2" t="s">
        <v>5</v>
      </c>
      <c r="H2">
        <f>IF(COUNTIFS($A$2:A2,A2,$B$2:B2,B2,$E$2:E2,E2)=1,1,0)</f>
        <v>1</v>
      </c>
      <c r="I2">
        <f>IF(COUNTIFS($A$2:A2,A2,$E$2:E2,E2)=1,1,0)</f>
        <v>1</v>
      </c>
      <c r="J2">
        <f>IF(COUNTIFS($B$2:B2,B2)=1,1,0)</f>
        <v>1</v>
      </c>
    </row>
    <row r="3" spans="1:10" x14ac:dyDescent="0.3">
      <c r="A3" s="2">
        <v>46244</v>
      </c>
      <c r="B3" t="s">
        <v>1</v>
      </c>
      <c r="C3" t="s">
        <v>2</v>
      </c>
      <c r="D3">
        <v>1</v>
      </c>
      <c r="E3" t="s">
        <v>56</v>
      </c>
      <c r="F3" t="s">
        <v>4</v>
      </c>
      <c r="G3" t="s">
        <v>5</v>
      </c>
      <c r="H3">
        <f>IF(COUNTIFS($A$2:A3,A3,$B$2:B3,B3,$E$2:E3,E3)=1,1,0)</f>
        <v>1</v>
      </c>
      <c r="I3">
        <f>IF(COUNTIFS($A$2:A3,A3,$E$2:E3,E3)=1,1,0)</f>
        <v>1</v>
      </c>
      <c r="J3">
        <f>IF(COUNTIFS($B$2:B3,B3)=1,1,0)</f>
        <v>0</v>
      </c>
    </row>
    <row r="4" spans="1:10" x14ac:dyDescent="0.3">
      <c r="A4" s="2">
        <v>46244</v>
      </c>
      <c r="B4" t="s">
        <v>1</v>
      </c>
      <c r="C4" t="s">
        <v>2</v>
      </c>
      <c r="D4">
        <v>1</v>
      </c>
      <c r="E4" t="s">
        <v>57</v>
      </c>
      <c r="F4" t="s">
        <v>4</v>
      </c>
      <c r="G4" t="s">
        <v>5</v>
      </c>
      <c r="H4">
        <f>IF(COUNTIFS($A$2:A4,A4,$B$2:B4,B4,$E$2:E4,E4)=1,1,0)</f>
        <v>1</v>
      </c>
      <c r="I4">
        <f>IF(COUNTIFS($A$2:A4,A4,$E$2:E4,E4)=1,1,0)</f>
        <v>1</v>
      </c>
      <c r="J4">
        <f>IF(COUNTIFS($B$2:B4,B4)=1,1,0)</f>
        <v>0</v>
      </c>
    </row>
    <row r="5" spans="1:10" x14ac:dyDescent="0.3">
      <c r="A5" s="2">
        <v>46244</v>
      </c>
      <c r="B5" t="s">
        <v>8</v>
      </c>
      <c r="C5" t="s">
        <v>9</v>
      </c>
      <c r="D5">
        <v>0.25</v>
      </c>
      <c r="E5" t="s">
        <v>58</v>
      </c>
      <c r="F5" t="s">
        <v>11</v>
      </c>
      <c r="G5" t="s">
        <v>12</v>
      </c>
      <c r="H5">
        <f>IF(COUNTIFS($A$2:A5,A5,$B$2:B5,B5,$E$2:E5,E5)=1,1,0)</f>
        <v>1</v>
      </c>
      <c r="I5">
        <f>IF(COUNTIFS($A$2:A5,A5,$E$2:E5,E5)=1,1,0)</f>
        <v>1</v>
      </c>
      <c r="J5">
        <f>IF(COUNTIFS($B$2:B5,B5)=1,1,0)</f>
        <v>1</v>
      </c>
    </row>
    <row r="6" spans="1:10" x14ac:dyDescent="0.3">
      <c r="A6" s="2">
        <v>46244</v>
      </c>
      <c r="B6" t="s">
        <v>1</v>
      </c>
      <c r="C6" t="s">
        <v>2</v>
      </c>
      <c r="D6">
        <v>1</v>
      </c>
      <c r="E6" t="s">
        <v>59</v>
      </c>
      <c r="F6" t="s">
        <v>4</v>
      </c>
      <c r="G6" t="s">
        <v>5</v>
      </c>
      <c r="H6">
        <f>IF(COUNTIFS($A$2:A6,A6,$B$2:B6,B6,$E$2:E6,E6)=1,1,0)</f>
        <v>1</v>
      </c>
      <c r="I6">
        <f>IF(COUNTIFS($A$2:A6,A6,$E$2:E6,E6)=1,1,0)</f>
        <v>1</v>
      </c>
      <c r="J6">
        <f>IF(COUNTIFS($B$2:B6,B6)=1,1,0)</f>
        <v>0</v>
      </c>
    </row>
    <row r="7" spans="1:10" x14ac:dyDescent="0.3">
      <c r="A7" s="2">
        <v>46244</v>
      </c>
      <c r="B7" t="s">
        <v>1</v>
      </c>
      <c r="C7" t="s">
        <v>2</v>
      </c>
      <c r="D7">
        <v>1</v>
      </c>
      <c r="E7" t="s">
        <v>60</v>
      </c>
      <c r="F7" t="s">
        <v>4</v>
      </c>
      <c r="G7" t="s">
        <v>5</v>
      </c>
      <c r="H7">
        <f>IF(COUNTIFS($A$2:A7,A7,$B$2:B7,B7,$E$2:E7,E7)=1,1,0)</f>
        <v>1</v>
      </c>
      <c r="I7">
        <f>IF(COUNTIFS($A$2:A7,A7,$E$2:E7,E7)=1,1,0)</f>
        <v>1</v>
      </c>
      <c r="J7">
        <f>IF(COUNTIFS($B$2:B7,B7)=1,1,0)</f>
        <v>0</v>
      </c>
    </row>
    <row r="8" spans="1:10" x14ac:dyDescent="0.3">
      <c r="A8" s="2">
        <v>46244</v>
      </c>
      <c r="B8" t="s">
        <v>15</v>
      </c>
      <c r="C8" t="s">
        <v>16</v>
      </c>
      <c r="D8">
        <v>1.5</v>
      </c>
      <c r="E8" t="s">
        <v>61</v>
      </c>
      <c r="F8" t="s">
        <v>11</v>
      </c>
      <c r="G8" t="s">
        <v>12</v>
      </c>
      <c r="H8">
        <f>IF(COUNTIFS($A$2:A8,A8,$B$2:B8,B8,$E$2:E8,E8)=1,1,0)</f>
        <v>1</v>
      </c>
      <c r="I8">
        <f>IF(COUNTIFS($A$2:A8,A8,$E$2:E8,E8)=1,1,0)</f>
        <v>1</v>
      </c>
      <c r="J8">
        <f>IF(COUNTIFS($B$2:B8,B8)=1,1,0)</f>
        <v>1</v>
      </c>
    </row>
    <row r="9" spans="1:10" x14ac:dyDescent="0.3">
      <c r="A9" s="2">
        <v>46244</v>
      </c>
      <c r="B9" t="s">
        <v>1</v>
      </c>
      <c r="C9" t="s">
        <v>2</v>
      </c>
      <c r="D9">
        <v>1</v>
      </c>
      <c r="E9" t="s">
        <v>58</v>
      </c>
      <c r="F9" t="s">
        <v>4</v>
      </c>
      <c r="G9" t="s">
        <v>5</v>
      </c>
      <c r="H9">
        <f>IF(COUNTIFS($A$2:A9,A9,$B$2:B9,B9,$E$2:E9,E9)=1,1,0)</f>
        <v>1</v>
      </c>
      <c r="I9">
        <f>IF(COUNTIFS($A$2:A9,A9,$E$2:E9,E9)=1,1,0)</f>
        <v>0</v>
      </c>
      <c r="J9">
        <f>IF(COUNTIFS($B$2:B9,B9)=1,1,0)</f>
        <v>0</v>
      </c>
    </row>
    <row r="10" spans="1:10" x14ac:dyDescent="0.3">
      <c r="A10" s="2">
        <v>46244</v>
      </c>
      <c r="B10" t="s">
        <v>18</v>
      </c>
      <c r="C10" t="s">
        <v>19</v>
      </c>
      <c r="D10">
        <v>1</v>
      </c>
      <c r="E10" t="s">
        <v>55</v>
      </c>
      <c r="F10" t="s">
        <v>20</v>
      </c>
      <c r="G10" t="s">
        <v>5</v>
      </c>
      <c r="H10">
        <f>IF(COUNTIFS($A$2:A10,A10,$B$2:B10,B10,$E$2:E10,E10)=1,1,0)</f>
        <v>1</v>
      </c>
      <c r="I10">
        <f>IF(COUNTIFS($A$2:A10,A10,$E$2:E10,E10)=1,1,0)</f>
        <v>0</v>
      </c>
      <c r="J10">
        <f>IF(COUNTIFS($B$2:B10,B10)=1,1,0)</f>
        <v>1</v>
      </c>
    </row>
    <row r="11" spans="1:10" x14ac:dyDescent="0.3">
      <c r="A11" s="2">
        <v>46244</v>
      </c>
      <c r="B11" t="s">
        <v>18</v>
      </c>
      <c r="C11" t="s">
        <v>19</v>
      </c>
      <c r="D11">
        <v>6.1</v>
      </c>
      <c r="E11" t="s">
        <v>57</v>
      </c>
      <c r="F11" t="s">
        <v>20</v>
      </c>
      <c r="G11" t="s">
        <v>5</v>
      </c>
      <c r="H11">
        <f>IF(COUNTIFS($A$2:A11,A11,$B$2:B11,B11,$E$2:E11,E11)=1,1,0)</f>
        <v>1</v>
      </c>
      <c r="I11">
        <f>IF(COUNTIFS($A$2:A11,A11,$E$2:E11,E11)=1,1,0)</f>
        <v>0</v>
      </c>
      <c r="J11">
        <f>IF(COUNTIFS($B$2:B11,B11)=1,1,0)</f>
        <v>0</v>
      </c>
    </row>
    <row r="12" spans="1:10" x14ac:dyDescent="0.3">
      <c r="A12" s="2">
        <v>46244</v>
      </c>
      <c r="B12" t="s">
        <v>1</v>
      </c>
      <c r="C12" t="s">
        <v>2</v>
      </c>
      <c r="D12">
        <v>0.5</v>
      </c>
      <c r="E12" t="s">
        <v>59</v>
      </c>
      <c r="F12" t="s">
        <v>4</v>
      </c>
      <c r="G12" t="s">
        <v>5</v>
      </c>
      <c r="H12">
        <f>IF(COUNTIFS($A$2:A12,A12,$B$2:B12,B12,$E$2:E12,E12)=1,1,0)</f>
        <v>0</v>
      </c>
      <c r="I12">
        <f>IF(COUNTIFS($A$2:A12,A12,$E$2:E12,E12)=1,1,0)</f>
        <v>0</v>
      </c>
      <c r="J12">
        <f>IF(COUNTIFS($B$2:B12,B12)=1,1,0)</f>
        <v>0</v>
      </c>
    </row>
    <row r="13" spans="1:10" x14ac:dyDescent="0.3">
      <c r="A13" s="2">
        <v>46244</v>
      </c>
      <c r="B13" t="s">
        <v>8</v>
      </c>
      <c r="C13" t="s">
        <v>9</v>
      </c>
      <c r="D13">
        <v>0.5</v>
      </c>
      <c r="E13" t="s">
        <v>60</v>
      </c>
      <c r="F13" t="s">
        <v>11</v>
      </c>
      <c r="G13" t="s">
        <v>12</v>
      </c>
      <c r="H13">
        <f>IF(COUNTIFS($A$2:A13,A13,$B$2:B13,B13,$E$2:E13,E13)=1,1,0)</f>
        <v>1</v>
      </c>
      <c r="I13">
        <f>IF(COUNTIFS($A$2:A13,A13,$E$2:E13,E13)=1,1,0)</f>
        <v>0</v>
      </c>
      <c r="J13">
        <f>IF(COUNTIFS($B$2:B13,B13)=1,1,0)</f>
        <v>0</v>
      </c>
    </row>
    <row r="14" spans="1:10" x14ac:dyDescent="0.3">
      <c r="A14" s="2">
        <v>46244</v>
      </c>
      <c r="B14" t="s">
        <v>18</v>
      </c>
      <c r="C14" t="s">
        <v>19</v>
      </c>
      <c r="D14">
        <v>5.5</v>
      </c>
      <c r="E14" t="s">
        <v>58</v>
      </c>
      <c r="F14" t="s">
        <v>20</v>
      </c>
      <c r="G14" t="s">
        <v>5</v>
      </c>
      <c r="H14">
        <f>IF(COUNTIFS($A$2:A14,A14,$B$2:B14,B14,$E$2:E14,E14)=1,1,0)</f>
        <v>1</v>
      </c>
      <c r="I14">
        <f>IF(COUNTIFS($A$2:A14,A14,$E$2:E14,E14)=1,1,0)</f>
        <v>0</v>
      </c>
      <c r="J14">
        <f>IF(COUNTIFS($B$2:B14,B14)=1,1,0)</f>
        <v>0</v>
      </c>
    </row>
    <row r="15" spans="1:10" x14ac:dyDescent="0.3">
      <c r="A15" s="2">
        <v>46244</v>
      </c>
      <c r="B15" t="s">
        <v>15</v>
      </c>
      <c r="C15" t="s">
        <v>16</v>
      </c>
      <c r="D15">
        <v>3.5</v>
      </c>
      <c r="E15" t="s">
        <v>59</v>
      </c>
      <c r="F15" t="s">
        <v>11</v>
      </c>
      <c r="G15" t="s">
        <v>12</v>
      </c>
      <c r="H15">
        <f>IF(COUNTIFS($A$2:A15,A15,$B$2:B15,B15,$E$2:E15,E15)=1,1,0)</f>
        <v>1</v>
      </c>
      <c r="I15">
        <f>IF(COUNTIFS($A$2:A15,A15,$E$2:E15,E15)=1,1,0)</f>
        <v>0</v>
      </c>
      <c r="J15">
        <f>IF(COUNTIFS($B$2:B15,B15)=1,1,0)</f>
        <v>0</v>
      </c>
    </row>
    <row r="16" spans="1:10" x14ac:dyDescent="0.3">
      <c r="A16" s="2">
        <v>46244</v>
      </c>
      <c r="B16" t="s">
        <v>15</v>
      </c>
      <c r="C16" t="s">
        <v>16</v>
      </c>
      <c r="D16">
        <v>0.5</v>
      </c>
      <c r="E16" t="s">
        <v>60</v>
      </c>
      <c r="F16" t="s">
        <v>11</v>
      </c>
      <c r="G16" t="s">
        <v>12</v>
      </c>
      <c r="H16">
        <f>IF(COUNTIFS($A$2:A16,A16,$B$2:B16,B16,$E$2:E16,E16)=1,1,0)</f>
        <v>1</v>
      </c>
      <c r="I16">
        <f>IF(COUNTIFS($A$2:A16,A16,$E$2:E16,E16)=1,1,0)</f>
        <v>0</v>
      </c>
      <c r="J16">
        <f>IF(COUNTIFS($B$2:B16,B16)=1,1,0)</f>
        <v>0</v>
      </c>
    </row>
    <row r="17" spans="1:10" x14ac:dyDescent="0.3">
      <c r="A17" s="2">
        <v>46244</v>
      </c>
      <c r="B17" t="s">
        <v>1</v>
      </c>
      <c r="C17" t="s">
        <v>2</v>
      </c>
      <c r="D17">
        <v>1</v>
      </c>
      <c r="E17" t="s">
        <v>61</v>
      </c>
      <c r="F17" t="s">
        <v>4</v>
      </c>
      <c r="G17" t="s">
        <v>5</v>
      </c>
      <c r="H17">
        <f>IF(COUNTIFS($A$2:A17,A17,$B$2:B17,B17,$E$2:E17,E17)=1,1,0)</f>
        <v>1</v>
      </c>
      <c r="I17">
        <f>IF(COUNTIFS($A$2:A17,A17,$E$2:E17,E17)=1,1,0)</f>
        <v>0</v>
      </c>
      <c r="J17">
        <f>IF(COUNTIFS($B$2:B17,B17)=1,1,0)</f>
        <v>0</v>
      </c>
    </row>
    <row r="18" spans="1:10" x14ac:dyDescent="0.3">
      <c r="A18" s="2">
        <v>46244</v>
      </c>
      <c r="B18" t="s">
        <v>18</v>
      </c>
      <c r="C18" t="s">
        <v>19</v>
      </c>
      <c r="D18">
        <v>4</v>
      </c>
      <c r="E18" t="s">
        <v>55</v>
      </c>
      <c r="F18" t="s">
        <v>20</v>
      </c>
      <c r="G18" t="s">
        <v>5</v>
      </c>
      <c r="H18">
        <f>IF(COUNTIFS($A$2:A18,A18,$B$2:B18,B18,$E$2:E18,E18)=1,1,0)</f>
        <v>0</v>
      </c>
      <c r="I18">
        <f>IF(COUNTIFS($A$2:A18,A18,$E$2:E18,E18)=1,1,0)</f>
        <v>0</v>
      </c>
      <c r="J18">
        <f>IF(COUNTIFS($B$2:B18,B18)=1,1,0)</f>
        <v>0</v>
      </c>
    </row>
    <row r="19" spans="1:10" x14ac:dyDescent="0.3">
      <c r="A19" s="2">
        <v>46244</v>
      </c>
      <c r="B19" t="s">
        <v>18</v>
      </c>
      <c r="C19" t="s">
        <v>19</v>
      </c>
      <c r="D19">
        <v>4</v>
      </c>
      <c r="E19" t="s">
        <v>60</v>
      </c>
      <c r="F19" t="s">
        <v>20</v>
      </c>
      <c r="G19" t="s">
        <v>5</v>
      </c>
      <c r="H19">
        <f>IF(COUNTIFS($A$2:A19,A19,$B$2:B19,B19,$E$2:E19,E19)=1,1,0)</f>
        <v>1</v>
      </c>
      <c r="I19">
        <f>IF(COUNTIFS($A$2:A19,A19,$E$2:E19,E19)=1,1,0)</f>
        <v>0</v>
      </c>
      <c r="J19">
        <f>IF(COUNTIFS($B$2:B19,B19)=1,1,0)</f>
        <v>0</v>
      </c>
    </row>
    <row r="20" spans="1:10" x14ac:dyDescent="0.3">
      <c r="A20" s="2">
        <v>46244</v>
      </c>
      <c r="B20" t="s">
        <v>21</v>
      </c>
      <c r="C20" t="s">
        <v>22</v>
      </c>
      <c r="D20">
        <v>4</v>
      </c>
      <c r="E20" t="s">
        <v>61</v>
      </c>
      <c r="F20" t="s">
        <v>23</v>
      </c>
      <c r="G20" t="s">
        <v>12</v>
      </c>
      <c r="H20">
        <f>IF(COUNTIFS($A$2:A20,A20,$B$2:B20,B20,$E$2:E20,E20)=1,1,0)</f>
        <v>1</v>
      </c>
      <c r="I20">
        <f>IF(COUNTIFS($A$2:A20,A20,$E$2:E20,E20)=1,1,0)</f>
        <v>0</v>
      </c>
      <c r="J20">
        <f>IF(COUNTIFS($B$2:B20,B20)=1,1,0)</f>
        <v>1</v>
      </c>
    </row>
    <row r="21" spans="1:10" x14ac:dyDescent="0.3">
      <c r="A21" s="2">
        <v>46244</v>
      </c>
      <c r="B21" t="s">
        <v>18</v>
      </c>
      <c r="C21" t="s">
        <v>19</v>
      </c>
      <c r="D21">
        <v>2.1669999999999998</v>
      </c>
      <c r="E21" t="s">
        <v>59</v>
      </c>
      <c r="F21" t="s">
        <v>20</v>
      </c>
      <c r="G21" t="s">
        <v>5</v>
      </c>
      <c r="H21">
        <f>IF(COUNTIFS($A$2:A21,A21,$B$2:B21,B21,$E$2:E21,E21)=1,1,0)</f>
        <v>1</v>
      </c>
      <c r="I21">
        <f>IF(COUNTIFS($A$2:A21,A21,$E$2:E21,E21)=1,1,0)</f>
        <v>0</v>
      </c>
      <c r="J21">
        <f>IF(COUNTIFS($B$2:B21,B21)=1,1,0)</f>
        <v>0</v>
      </c>
    </row>
    <row r="22" spans="1:10" x14ac:dyDescent="0.3">
      <c r="A22" s="2">
        <v>46244</v>
      </c>
      <c r="B22" t="s">
        <v>24</v>
      </c>
      <c r="C22" t="s">
        <v>25</v>
      </c>
      <c r="D22">
        <v>8.3000000000000004E-2</v>
      </c>
      <c r="E22" t="s">
        <v>55</v>
      </c>
      <c r="F22" t="s">
        <v>11</v>
      </c>
      <c r="G22" t="s">
        <v>12</v>
      </c>
      <c r="H22">
        <f>IF(COUNTIFS($A$2:A22,A22,$B$2:B22,B22,$E$2:E22,E22)=1,1,0)</f>
        <v>1</v>
      </c>
      <c r="I22">
        <f>IF(COUNTIFS($A$2:A22,A22,$E$2:E22,E22)=1,1,0)</f>
        <v>0</v>
      </c>
      <c r="J22">
        <f>IF(COUNTIFS($B$2:B22,B22)=1,1,0)</f>
        <v>1</v>
      </c>
    </row>
    <row r="23" spans="1:10" x14ac:dyDescent="0.3">
      <c r="A23" s="2">
        <v>46244</v>
      </c>
      <c r="B23" t="s">
        <v>24</v>
      </c>
      <c r="C23" t="s">
        <v>25</v>
      </c>
      <c r="D23">
        <v>0.41699999999999998</v>
      </c>
      <c r="E23" t="s">
        <v>55</v>
      </c>
      <c r="F23" t="s">
        <v>11</v>
      </c>
      <c r="G23" t="s">
        <v>12</v>
      </c>
      <c r="H23">
        <f>IF(COUNTIFS($A$2:A23,A23,$B$2:B23,B23,$E$2:E23,E23)=1,1,0)</f>
        <v>0</v>
      </c>
      <c r="I23">
        <f>IF(COUNTIFS($A$2:A23,A23,$E$2:E23,E23)=1,1,0)</f>
        <v>0</v>
      </c>
      <c r="J23">
        <f>IF(COUNTIFS($B$2:B23,B23)=1,1,0)</f>
        <v>0</v>
      </c>
    </row>
    <row r="24" spans="1:10" x14ac:dyDescent="0.3">
      <c r="A24" s="2">
        <v>46245</v>
      </c>
      <c r="B24" t="s">
        <v>26</v>
      </c>
      <c r="C24" t="s">
        <v>27</v>
      </c>
      <c r="D24">
        <v>0.25</v>
      </c>
      <c r="E24" t="s">
        <v>55</v>
      </c>
      <c r="F24" t="s">
        <v>28</v>
      </c>
      <c r="G24" t="s">
        <v>12</v>
      </c>
      <c r="H24">
        <f>IF(COUNTIFS($A$2:A24,A24,$B$2:B24,B24,$E$2:E24,E24)=1,1,0)</f>
        <v>1</v>
      </c>
      <c r="I24">
        <f>IF(COUNTIFS($A$2:A24,A24,$E$2:E24,E24)=1,1,0)</f>
        <v>1</v>
      </c>
      <c r="J24">
        <f>IF(COUNTIFS($B$2:B24,B24)=1,1,0)</f>
        <v>1</v>
      </c>
    </row>
    <row r="25" spans="1:10" x14ac:dyDescent="0.3">
      <c r="A25" s="2">
        <v>46245</v>
      </c>
      <c r="B25" t="s">
        <v>1</v>
      </c>
      <c r="C25" t="s">
        <v>2</v>
      </c>
      <c r="D25">
        <v>1</v>
      </c>
      <c r="E25" t="s">
        <v>56</v>
      </c>
      <c r="F25" t="s">
        <v>4</v>
      </c>
      <c r="G25" t="s">
        <v>5</v>
      </c>
      <c r="H25">
        <f>IF(COUNTIFS($A$2:A25,A25,$B$2:B25,B25,$E$2:E25,E25)=1,1,0)</f>
        <v>1</v>
      </c>
      <c r="I25">
        <f>IF(COUNTIFS($A$2:A25,A25,$E$2:E25,E25)=1,1,0)</f>
        <v>1</v>
      </c>
      <c r="J25">
        <f>IF(COUNTIFS($B$2:B25,B25)=1,1,0)</f>
        <v>0</v>
      </c>
    </row>
    <row r="26" spans="1:10" x14ac:dyDescent="0.3">
      <c r="A26" s="2">
        <v>46245</v>
      </c>
      <c r="B26" t="s">
        <v>1</v>
      </c>
      <c r="C26" t="s">
        <v>2</v>
      </c>
      <c r="D26">
        <v>1</v>
      </c>
      <c r="E26" t="s">
        <v>57</v>
      </c>
      <c r="F26" t="s">
        <v>4</v>
      </c>
      <c r="G26" t="s">
        <v>5</v>
      </c>
      <c r="H26">
        <f>IF(COUNTIFS($A$2:A26,A26,$B$2:B26,B26,$E$2:E26,E26)=1,1,0)</f>
        <v>1</v>
      </c>
      <c r="I26">
        <f>IF(COUNTIFS($A$2:A26,A26,$E$2:E26,E26)=1,1,0)</f>
        <v>1</v>
      </c>
      <c r="J26">
        <f>IF(COUNTIFS($B$2:B26,B26)=1,1,0)</f>
        <v>0</v>
      </c>
    </row>
    <row r="27" spans="1:10" x14ac:dyDescent="0.3">
      <c r="A27" s="2">
        <v>46245</v>
      </c>
      <c r="B27" t="s">
        <v>29</v>
      </c>
      <c r="C27" t="s">
        <v>30</v>
      </c>
      <c r="D27">
        <v>0.33300000000000002</v>
      </c>
      <c r="E27" t="s">
        <v>58</v>
      </c>
      <c r="F27" t="s">
        <v>11</v>
      </c>
      <c r="G27" t="s">
        <v>12</v>
      </c>
      <c r="H27">
        <f>IF(COUNTIFS($A$2:A27,A27,$B$2:B27,B27,$E$2:E27,E27)=1,1,0)</f>
        <v>1</v>
      </c>
      <c r="I27">
        <f>IF(COUNTIFS($A$2:A27,A27,$E$2:E27,E27)=1,1,0)</f>
        <v>1</v>
      </c>
      <c r="J27">
        <f>IF(COUNTIFS($B$2:B27,B27)=1,1,0)</f>
        <v>1</v>
      </c>
    </row>
    <row r="28" spans="1:10" x14ac:dyDescent="0.3">
      <c r="A28" s="2">
        <v>46245</v>
      </c>
      <c r="B28" t="s">
        <v>1</v>
      </c>
      <c r="C28" t="s">
        <v>2</v>
      </c>
      <c r="D28">
        <v>1</v>
      </c>
      <c r="E28" t="s">
        <v>59</v>
      </c>
      <c r="F28" t="s">
        <v>4</v>
      </c>
      <c r="G28" t="s">
        <v>5</v>
      </c>
      <c r="H28">
        <f>IF(COUNTIFS($A$2:A28,A28,$B$2:B28,B28,$E$2:E28,E28)=1,1,0)</f>
        <v>1</v>
      </c>
      <c r="I28">
        <f>IF(COUNTIFS($A$2:A28,A28,$E$2:E28,E28)=1,1,0)</f>
        <v>1</v>
      </c>
      <c r="J28">
        <f>IF(COUNTIFS($B$2:B28,B28)=1,1,0)</f>
        <v>0</v>
      </c>
    </row>
    <row r="29" spans="1:10" x14ac:dyDescent="0.3">
      <c r="A29" s="2">
        <v>46245</v>
      </c>
      <c r="B29" t="s">
        <v>1</v>
      </c>
      <c r="C29" t="s">
        <v>2</v>
      </c>
      <c r="D29">
        <v>1</v>
      </c>
      <c r="E29" t="s">
        <v>60</v>
      </c>
      <c r="F29" t="s">
        <v>4</v>
      </c>
      <c r="G29" t="s">
        <v>5</v>
      </c>
      <c r="H29">
        <f>IF(COUNTIFS($A$2:A29,A29,$B$2:B29,B29,$E$2:E29,E29)=1,1,0)</f>
        <v>1</v>
      </c>
      <c r="I29">
        <f>IF(COUNTIFS($A$2:A29,A29,$E$2:E29,E29)=1,1,0)</f>
        <v>1</v>
      </c>
      <c r="J29">
        <f>IF(COUNTIFS($B$2:B29,B29)=1,1,0)</f>
        <v>0</v>
      </c>
    </row>
    <row r="30" spans="1:10" x14ac:dyDescent="0.3">
      <c r="A30" s="2">
        <v>46245</v>
      </c>
      <c r="B30" t="s">
        <v>15</v>
      </c>
      <c r="C30" t="s">
        <v>16</v>
      </c>
      <c r="D30">
        <v>2</v>
      </c>
      <c r="E30" t="s">
        <v>61</v>
      </c>
      <c r="F30" t="s">
        <v>11</v>
      </c>
      <c r="G30" t="s">
        <v>12</v>
      </c>
      <c r="H30">
        <f>IF(COUNTIFS($A$2:A30,A30,$B$2:B30,B30,$E$2:E30,E30)=1,1,0)</f>
        <v>1</v>
      </c>
      <c r="I30">
        <f>IF(COUNTIFS($A$2:A30,A30,$E$2:E30,E30)=1,1,0)</f>
        <v>1</v>
      </c>
      <c r="J30">
        <f>IF(COUNTIFS($B$2:B30,B30)=1,1,0)</f>
        <v>0</v>
      </c>
    </row>
    <row r="31" spans="1:10" x14ac:dyDescent="0.3">
      <c r="A31" s="2">
        <v>46245</v>
      </c>
      <c r="B31" t="s">
        <v>26</v>
      </c>
      <c r="C31" t="s">
        <v>27</v>
      </c>
      <c r="D31">
        <v>5.75</v>
      </c>
      <c r="E31" t="s">
        <v>55</v>
      </c>
      <c r="F31" t="s">
        <v>28</v>
      </c>
      <c r="G31" t="s">
        <v>12</v>
      </c>
      <c r="H31">
        <f>IF(COUNTIFS($A$2:A31,A31,$B$2:B31,B31,$E$2:E31,E31)=1,1,0)</f>
        <v>0</v>
      </c>
      <c r="I31">
        <f>IF(COUNTIFS($A$2:A31,A31,$E$2:E31,E31)=1,1,0)</f>
        <v>0</v>
      </c>
      <c r="J31">
        <f>IF(COUNTIFS($B$2:B31,B31)=1,1,0)</f>
        <v>0</v>
      </c>
    </row>
    <row r="32" spans="1:10" x14ac:dyDescent="0.3">
      <c r="A32" s="2">
        <v>46245</v>
      </c>
      <c r="B32" t="s">
        <v>21</v>
      </c>
      <c r="C32" t="s">
        <v>22</v>
      </c>
      <c r="D32">
        <v>2</v>
      </c>
      <c r="E32" t="s">
        <v>58</v>
      </c>
      <c r="F32" t="s">
        <v>23</v>
      </c>
      <c r="G32" t="s">
        <v>12</v>
      </c>
      <c r="H32">
        <f>IF(COUNTIFS($A$2:A32,A32,$B$2:B32,B32,$E$2:E32,E32)=1,1,0)</f>
        <v>1</v>
      </c>
      <c r="I32">
        <f>IF(COUNTIFS($A$2:A32,A32,$E$2:E32,E32)=1,1,0)</f>
        <v>0</v>
      </c>
      <c r="J32">
        <f>IF(COUNTIFS($B$2:B32,B32)=1,1,0)</f>
        <v>0</v>
      </c>
    </row>
    <row r="33" spans="1:10" x14ac:dyDescent="0.3">
      <c r="A33" s="2">
        <v>46245</v>
      </c>
      <c r="B33" t="s">
        <v>31</v>
      </c>
      <c r="C33" t="s">
        <v>32</v>
      </c>
      <c r="D33">
        <v>1</v>
      </c>
      <c r="E33" t="s">
        <v>56</v>
      </c>
      <c r="F33" t="s">
        <v>23</v>
      </c>
      <c r="G33" t="s">
        <v>12</v>
      </c>
      <c r="H33">
        <f>IF(COUNTIFS($A$2:A33,A33,$B$2:B33,B33,$E$2:E33,E33)=1,1,0)</f>
        <v>1</v>
      </c>
      <c r="I33">
        <f>IF(COUNTIFS($A$2:A33,A33,$E$2:E33,E33)=1,1,0)</f>
        <v>0</v>
      </c>
      <c r="J33">
        <f>IF(COUNTIFS($B$2:B33,B33)=1,1,0)</f>
        <v>1</v>
      </c>
    </row>
    <row r="34" spans="1:10" x14ac:dyDescent="0.3">
      <c r="A34" s="2">
        <v>46245</v>
      </c>
      <c r="B34" t="s">
        <v>33</v>
      </c>
      <c r="C34" t="s">
        <v>34</v>
      </c>
      <c r="D34">
        <v>5.5</v>
      </c>
      <c r="E34" t="s">
        <v>57</v>
      </c>
      <c r="F34" t="s">
        <v>23</v>
      </c>
      <c r="G34" t="s">
        <v>12</v>
      </c>
      <c r="H34">
        <f>IF(COUNTIFS($A$2:A34,A34,$B$2:B34,B34,$E$2:E34,E34)=1,1,0)</f>
        <v>1</v>
      </c>
      <c r="I34">
        <f>IF(COUNTIFS($A$2:A34,A34,$E$2:E34,E34)=1,1,0)</f>
        <v>0</v>
      </c>
      <c r="J34">
        <f>IF(COUNTIFS($B$2:B34,B34)=1,1,0)</f>
        <v>1</v>
      </c>
    </row>
    <row r="35" spans="1:10" x14ac:dyDescent="0.3">
      <c r="A35" s="2">
        <v>46245</v>
      </c>
      <c r="B35" t="s">
        <v>1</v>
      </c>
      <c r="C35" t="s">
        <v>2</v>
      </c>
      <c r="D35">
        <v>0.5</v>
      </c>
      <c r="E35" t="s">
        <v>59</v>
      </c>
      <c r="F35" t="s">
        <v>4</v>
      </c>
      <c r="G35" t="s">
        <v>5</v>
      </c>
      <c r="H35">
        <f>IF(COUNTIFS($A$2:A35,A35,$B$2:B35,B35,$E$2:E35,E35)=1,1,0)</f>
        <v>0</v>
      </c>
      <c r="I35">
        <f>IF(COUNTIFS($A$2:A35,A35,$E$2:E35,E35)=1,1,0)</f>
        <v>0</v>
      </c>
      <c r="J35">
        <f>IF(COUNTIFS($B$2:B35,B35)=1,1,0)</f>
        <v>0</v>
      </c>
    </row>
    <row r="36" spans="1:10" x14ac:dyDescent="0.3">
      <c r="A36" s="2">
        <v>46245</v>
      </c>
      <c r="B36" t="s">
        <v>29</v>
      </c>
      <c r="C36" t="s">
        <v>30</v>
      </c>
      <c r="D36">
        <v>0.5</v>
      </c>
      <c r="E36" t="s">
        <v>60</v>
      </c>
      <c r="F36" t="s">
        <v>11</v>
      </c>
      <c r="G36" t="s">
        <v>12</v>
      </c>
      <c r="H36">
        <f>IF(COUNTIFS($A$2:A36,A36,$B$2:B36,B36,$E$2:E36,E36)=1,1,0)</f>
        <v>1</v>
      </c>
      <c r="I36">
        <f>IF(COUNTIFS($A$2:A36,A36,$E$2:E36,E36)=1,1,0)</f>
        <v>0</v>
      </c>
      <c r="J36">
        <f>IF(COUNTIFS($B$2:B36,B36)=1,1,0)</f>
        <v>0</v>
      </c>
    </row>
    <row r="37" spans="1:10" x14ac:dyDescent="0.3">
      <c r="A37" s="2">
        <v>46245</v>
      </c>
      <c r="B37" t="s">
        <v>35</v>
      </c>
      <c r="C37" t="s">
        <v>36</v>
      </c>
      <c r="D37">
        <v>0.41699999999999998</v>
      </c>
      <c r="E37" t="s">
        <v>59</v>
      </c>
      <c r="F37" t="s">
        <v>23</v>
      </c>
      <c r="G37" t="s">
        <v>12</v>
      </c>
      <c r="H37">
        <f>IF(COUNTIFS($A$2:A37,A37,$B$2:B37,B37,$E$2:E37,E37)=1,1,0)</f>
        <v>1</v>
      </c>
      <c r="I37">
        <f>IF(COUNTIFS($A$2:A37,A37,$E$2:E37,E37)=1,1,0)</f>
        <v>0</v>
      </c>
      <c r="J37">
        <f>IF(COUNTIFS($B$2:B37,B37)=1,1,0)</f>
        <v>1</v>
      </c>
    </row>
    <row r="38" spans="1:10" x14ac:dyDescent="0.3">
      <c r="A38" s="2">
        <v>46245</v>
      </c>
      <c r="B38" t="s">
        <v>35</v>
      </c>
      <c r="C38" t="s">
        <v>36</v>
      </c>
      <c r="D38">
        <v>0.75</v>
      </c>
      <c r="E38" t="s">
        <v>60</v>
      </c>
      <c r="F38" t="s">
        <v>23</v>
      </c>
      <c r="G38" t="s">
        <v>12</v>
      </c>
      <c r="H38">
        <f>IF(COUNTIFS($A$2:A38,A38,$B$2:B38,B38,$E$2:E38,E38)=1,1,0)</f>
        <v>1</v>
      </c>
      <c r="I38">
        <f>IF(COUNTIFS($A$2:A38,A38,$E$2:E38,E38)=1,1,0)</f>
        <v>0</v>
      </c>
      <c r="J38">
        <f>IF(COUNTIFS($B$2:B38,B38)=1,1,0)</f>
        <v>0</v>
      </c>
    </row>
    <row r="39" spans="1:10" x14ac:dyDescent="0.3">
      <c r="A39" s="2">
        <v>46245</v>
      </c>
      <c r="B39" t="s">
        <v>15</v>
      </c>
      <c r="C39" t="s">
        <v>16</v>
      </c>
      <c r="D39">
        <v>3</v>
      </c>
      <c r="E39" t="s">
        <v>59</v>
      </c>
      <c r="F39" t="s">
        <v>11</v>
      </c>
      <c r="G39" t="s">
        <v>12</v>
      </c>
      <c r="H39">
        <f>IF(COUNTIFS($A$2:A39,A39,$B$2:B39,B39,$E$2:E39,E39)=1,1,0)</f>
        <v>1</v>
      </c>
      <c r="I39">
        <f>IF(COUNTIFS($A$2:A39,A39,$E$2:E39,E39)=1,1,0)</f>
        <v>0</v>
      </c>
      <c r="J39">
        <f>IF(COUNTIFS($B$2:B39,B39)=1,1,0)</f>
        <v>0</v>
      </c>
    </row>
    <row r="40" spans="1:10" x14ac:dyDescent="0.3">
      <c r="A40" s="2">
        <v>46245</v>
      </c>
      <c r="B40" t="s">
        <v>18</v>
      </c>
      <c r="C40" t="s">
        <v>19</v>
      </c>
      <c r="D40">
        <v>5.5</v>
      </c>
      <c r="E40" t="s">
        <v>56</v>
      </c>
      <c r="F40" t="s">
        <v>20</v>
      </c>
      <c r="G40" t="s">
        <v>5</v>
      </c>
      <c r="H40">
        <f>IF(COUNTIFS($A$2:A40,A40,$B$2:B40,B40,$E$2:E40,E40)=1,1,0)</f>
        <v>1</v>
      </c>
      <c r="I40">
        <f>IF(COUNTIFS($A$2:A40,A40,$E$2:E40,E40)=1,1,0)</f>
        <v>0</v>
      </c>
      <c r="J40">
        <f>IF(COUNTIFS($B$2:B40,B40)=1,1,0)</f>
        <v>0</v>
      </c>
    </row>
    <row r="41" spans="1:10" x14ac:dyDescent="0.3">
      <c r="A41" s="2">
        <v>46245</v>
      </c>
      <c r="B41" t="s">
        <v>1</v>
      </c>
      <c r="C41" t="s">
        <v>2</v>
      </c>
      <c r="D41">
        <v>1</v>
      </c>
      <c r="E41" t="s">
        <v>61</v>
      </c>
      <c r="F41" t="s">
        <v>4</v>
      </c>
      <c r="G41" t="s">
        <v>5</v>
      </c>
      <c r="H41">
        <f>IF(COUNTIFS($A$2:A41,A41,$B$2:B41,B41,$E$2:E41,E41)=1,1,0)</f>
        <v>1</v>
      </c>
      <c r="I41">
        <f>IF(COUNTIFS($A$2:A41,A41,$E$2:E41,E41)=1,1,0)</f>
        <v>0</v>
      </c>
      <c r="J41">
        <f>IF(COUNTIFS($B$2:B41,B41)=1,1,0)</f>
        <v>0</v>
      </c>
    </row>
    <row r="42" spans="1:10" x14ac:dyDescent="0.3">
      <c r="A42" s="2">
        <v>46245</v>
      </c>
      <c r="B42" t="s">
        <v>15</v>
      </c>
      <c r="C42" t="s">
        <v>16</v>
      </c>
      <c r="D42">
        <v>1</v>
      </c>
      <c r="E42" t="s">
        <v>60</v>
      </c>
      <c r="F42" t="s">
        <v>11</v>
      </c>
      <c r="G42" t="s">
        <v>12</v>
      </c>
      <c r="H42">
        <f>IF(COUNTIFS($A$2:A42,A42,$B$2:B42,B42,$E$2:E42,E42)=1,1,0)</f>
        <v>1</v>
      </c>
      <c r="I42">
        <f>IF(COUNTIFS($A$2:A42,A42,$E$2:E42,E42)=1,1,0)</f>
        <v>0</v>
      </c>
      <c r="J42">
        <f>IF(COUNTIFS($B$2:B42,B42)=1,1,0)</f>
        <v>0</v>
      </c>
    </row>
    <row r="43" spans="1:10" x14ac:dyDescent="0.3">
      <c r="A43" s="2">
        <v>46245</v>
      </c>
      <c r="B43" t="s">
        <v>37</v>
      </c>
      <c r="C43" t="s">
        <v>38</v>
      </c>
      <c r="D43">
        <v>0.16700000000000001</v>
      </c>
      <c r="E43" t="s">
        <v>58</v>
      </c>
      <c r="F43" t="s">
        <v>11</v>
      </c>
      <c r="G43" t="s">
        <v>12</v>
      </c>
      <c r="H43">
        <f>IF(COUNTIFS($A$2:A43,A43,$B$2:B43,B43,$E$2:E43,E43)=1,1,0)</f>
        <v>1</v>
      </c>
      <c r="I43">
        <f>IF(COUNTIFS($A$2:A43,A43,$E$2:E43,E43)=1,1,0)</f>
        <v>0</v>
      </c>
      <c r="J43">
        <f>IF(COUNTIFS($B$2:B43,B43)=1,1,0)</f>
        <v>1</v>
      </c>
    </row>
    <row r="44" spans="1:10" x14ac:dyDescent="0.3">
      <c r="A44" s="2">
        <v>46245</v>
      </c>
      <c r="B44" t="s">
        <v>24</v>
      </c>
      <c r="C44" t="s">
        <v>25</v>
      </c>
      <c r="D44">
        <v>0.25</v>
      </c>
      <c r="E44" t="s">
        <v>58</v>
      </c>
      <c r="F44" t="s">
        <v>11</v>
      </c>
      <c r="G44" t="s">
        <v>12</v>
      </c>
      <c r="H44">
        <f>IF(COUNTIFS($A$2:A44,A44,$B$2:B44,B44,$E$2:E44,E44)=1,1,0)</f>
        <v>1</v>
      </c>
      <c r="I44">
        <f>IF(COUNTIFS($A$2:A44,A44,$E$2:E44,E44)=1,1,0)</f>
        <v>0</v>
      </c>
      <c r="J44">
        <f>IF(COUNTIFS($B$2:B44,B44)=1,1,0)</f>
        <v>0</v>
      </c>
    </row>
    <row r="45" spans="1:10" x14ac:dyDescent="0.3">
      <c r="A45" s="2">
        <v>46245</v>
      </c>
      <c r="B45" t="s">
        <v>1</v>
      </c>
      <c r="C45" t="s">
        <v>2</v>
      </c>
      <c r="D45">
        <v>1</v>
      </c>
      <c r="E45" t="s">
        <v>58</v>
      </c>
      <c r="F45" t="s">
        <v>4</v>
      </c>
      <c r="G45" t="s">
        <v>5</v>
      </c>
      <c r="H45">
        <f>IF(COUNTIFS($A$2:A45,A45,$B$2:B45,B45,$E$2:E45,E45)=1,1,0)</f>
        <v>1</v>
      </c>
      <c r="I45">
        <f>IF(COUNTIFS($A$2:A45,A45,$E$2:E45,E45)=1,1,0)</f>
        <v>0</v>
      </c>
      <c r="J45">
        <f>IF(COUNTIFS($B$2:B45,B45)=1,1,0)</f>
        <v>0</v>
      </c>
    </row>
    <row r="46" spans="1:10" x14ac:dyDescent="0.3">
      <c r="A46" s="2">
        <v>46245</v>
      </c>
      <c r="B46" t="s">
        <v>21</v>
      </c>
      <c r="C46" t="s">
        <v>22</v>
      </c>
      <c r="D46">
        <v>4</v>
      </c>
      <c r="E46" t="s">
        <v>61</v>
      </c>
      <c r="F46" t="s">
        <v>23</v>
      </c>
      <c r="G46" t="s">
        <v>12</v>
      </c>
      <c r="H46">
        <f>IF(COUNTIFS($A$2:A46,A46,$B$2:B46,B46,$E$2:E46,E46)=1,1,0)</f>
        <v>1</v>
      </c>
      <c r="I46">
        <f>IF(COUNTIFS($A$2:A46,A46,$E$2:E46,E46)=1,1,0)</f>
        <v>0</v>
      </c>
      <c r="J46">
        <f>IF(COUNTIFS($B$2:B46,B46)=1,1,0)</f>
        <v>0</v>
      </c>
    </row>
    <row r="47" spans="1:10" x14ac:dyDescent="0.3">
      <c r="A47" s="2">
        <v>46245</v>
      </c>
      <c r="B47" t="s">
        <v>18</v>
      </c>
      <c r="C47" t="s">
        <v>19</v>
      </c>
      <c r="D47">
        <v>4</v>
      </c>
      <c r="E47" t="s">
        <v>60</v>
      </c>
      <c r="F47" t="s">
        <v>20</v>
      </c>
      <c r="G47" t="s">
        <v>5</v>
      </c>
      <c r="H47">
        <f>IF(COUNTIFS($A$2:A47,A47,$B$2:B47,B47,$E$2:E47,E47)=1,1,0)</f>
        <v>1</v>
      </c>
      <c r="I47">
        <f>IF(COUNTIFS($A$2:A47,A47,$E$2:E47,E47)=1,1,0)</f>
        <v>0</v>
      </c>
      <c r="J47">
        <f>IF(COUNTIFS($B$2:B47,B47)=1,1,0)</f>
        <v>0</v>
      </c>
    </row>
    <row r="48" spans="1:10" x14ac:dyDescent="0.3">
      <c r="A48" s="2">
        <v>46245</v>
      </c>
      <c r="B48" t="s">
        <v>18</v>
      </c>
      <c r="C48" t="s">
        <v>19</v>
      </c>
      <c r="D48">
        <v>3.5</v>
      </c>
      <c r="E48" t="s">
        <v>58</v>
      </c>
      <c r="F48" t="s">
        <v>20</v>
      </c>
      <c r="G48" t="s">
        <v>5</v>
      </c>
      <c r="H48">
        <f>IF(COUNTIFS($A$2:A48,A48,$B$2:B48,B48,$E$2:E48,E48)=1,1,0)</f>
        <v>1</v>
      </c>
      <c r="I48">
        <f>IF(COUNTIFS($A$2:A48,A48,$E$2:E48,E48)=1,1,0)</f>
        <v>0</v>
      </c>
      <c r="J48">
        <f>IF(COUNTIFS($B$2:B48,B48)=1,1,0)</f>
        <v>0</v>
      </c>
    </row>
    <row r="49" spans="1:10" x14ac:dyDescent="0.3">
      <c r="A49" s="2">
        <v>46245</v>
      </c>
      <c r="B49" t="s">
        <v>18</v>
      </c>
      <c r="C49" t="s">
        <v>19</v>
      </c>
      <c r="D49">
        <v>2.25</v>
      </c>
      <c r="E49" t="s">
        <v>59</v>
      </c>
      <c r="F49" t="s">
        <v>20</v>
      </c>
      <c r="G49" t="s">
        <v>5</v>
      </c>
      <c r="H49">
        <f>IF(COUNTIFS($A$2:A49,A49,$B$2:B49,B49,$E$2:E49,E49)=1,1,0)</f>
        <v>1</v>
      </c>
      <c r="I49">
        <f>IF(COUNTIFS($A$2:A49,A49,$E$2:E49,E49)=1,1,0)</f>
        <v>0</v>
      </c>
      <c r="J49">
        <f>IF(COUNTIFS($B$2:B49,B49)=1,1,0)</f>
        <v>0</v>
      </c>
    </row>
    <row r="50" spans="1:10" x14ac:dyDescent="0.3">
      <c r="A50" s="2">
        <v>46245</v>
      </c>
      <c r="B50" t="s">
        <v>1</v>
      </c>
      <c r="C50" t="s">
        <v>2</v>
      </c>
      <c r="D50">
        <v>1</v>
      </c>
      <c r="E50" t="s">
        <v>55</v>
      </c>
      <c r="F50" t="s">
        <v>4</v>
      </c>
      <c r="G50" t="s">
        <v>5</v>
      </c>
      <c r="H50">
        <f>IF(COUNTIFS($A$2:A50,A50,$B$2:B50,B50,$E$2:E50,E50)=1,1,0)</f>
        <v>1</v>
      </c>
      <c r="I50">
        <f>IF(COUNTIFS($A$2:A50,A50,$E$2:E50,E50)=1,1,0)</f>
        <v>0</v>
      </c>
      <c r="J50">
        <f>IF(COUNTIFS($B$2:B50,B50)=1,1,0)</f>
        <v>0</v>
      </c>
    </row>
    <row r="51" spans="1:10" x14ac:dyDescent="0.3">
      <c r="A51" s="2">
        <v>46246</v>
      </c>
      <c r="B51" t="s">
        <v>1</v>
      </c>
      <c r="C51" t="s">
        <v>2</v>
      </c>
      <c r="D51">
        <v>1</v>
      </c>
      <c r="E51" t="s">
        <v>55</v>
      </c>
      <c r="F51" t="s">
        <v>4</v>
      </c>
      <c r="G51" t="s">
        <v>5</v>
      </c>
      <c r="H51">
        <f>IF(COUNTIFS($A$2:A51,A51,$B$2:B51,B51,$E$2:E51,E51)=1,1,0)</f>
        <v>1</v>
      </c>
      <c r="I51">
        <f>IF(COUNTIFS($A$2:A51,A51,$E$2:E51,E51)=1,1,0)</f>
        <v>1</v>
      </c>
      <c r="J51">
        <f>IF(COUNTIFS($B$2:B51,B51)=1,1,0)</f>
        <v>0</v>
      </c>
    </row>
    <row r="52" spans="1:10" x14ac:dyDescent="0.3">
      <c r="A52" s="2">
        <v>46246</v>
      </c>
      <c r="B52" t="s">
        <v>1</v>
      </c>
      <c r="C52" t="s">
        <v>2</v>
      </c>
      <c r="D52">
        <v>1</v>
      </c>
      <c r="E52" t="s">
        <v>56</v>
      </c>
      <c r="F52" t="s">
        <v>4</v>
      </c>
      <c r="G52" t="s">
        <v>5</v>
      </c>
      <c r="H52">
        <f>IF(COUNTIFS($A$2:A52,A52,$B$2:B52,B52,$E$2:E52,E52)=1,1,0)</f>
        <v>1</v>
      </c>
      <c r="I52">
        <f>IF(COUNTIFS($A$2:A52,A52,$E$2:E52,E52)=1,1,0)</f>
        <v>1</v>
      </c>
      <c r="J52">
        <f>IF(COUNTIFS($B$2:B52,B52)=1,1,0)</f>
        <v>0</v>
      </c>
    </row>
    <row r="53" spans="1:10" x14ac:dyDescent="0.3">
      <c r="A53" s="2">
        <v>46246</v>
      </c>
      <c r="B53" t="s">
        <v>1</v>
      </c>
      <c r="C53" t="s">
        <v>2</v>
      </c>
      <c r="D53">
        <v>1</v>
      </c>
      <c r="E53" t="s">
        <v>57</v>
      </c>
      <c r="F53" t="s">
        <v>4</v>
      </c>
      <c r="G53" t="s">
        <v>5</v>
      </c>
      <c r="H53">
        <f>IF(COUNTIFS($A$2:A53,A53,$B$2:B53,B53,$E$2:E53,E53)=1,1,0)</f>
        <v>1</v>
      </c>
      <c r="I53">
        <f>IF(COUNTIFS($A$2:A53,A53,$E$2:E53,E53)=1,1,0)</f>
        <v>1</v>
      </c>
      <c r="J53">
        <f>IF(COUNTIFS($B$2:B53,B53)=1,1,0)</f>
        <v>0</v>
      </c>
    </row>
    <row r="54" spans="1:10" x14ac:dyDescent="0.3">
      <c r="A54" s="2">
        <v>46246</v>
      </c>
      <c r="B54" t="s">
        <v>33</v>
      </c>
      <c r="C54" t="s">
        <v>34</v>
      </c>
      <c r="D54">
        <v>2</v>
      </c>
      <c r="E54" t="s">
        <v>58</v>
      </c>
      <c r="F54" t="s">
        <v>23</v>
      </c>
      <c r="G54" t="s">
        <v>12</v>
      </c>
      <c r="H54">
        <f>IF(COUNTIFS($A$2:A54,A54,$B$2:B54,B54,$E$2:E54,E54)=1,1,0)</f>
        <v>1</v>
      </c>
      <c r="I54">
        <f>IF(COUNTIFS($A$2:A54,A54,$E$2:E54,E54)=1,1,0)</f>
        <v>1</v>
      </c>
      <c r="J54">
        <f>IF(COUNTIFS($B$2:B54,B54)=1,1,0)</f>
        <v>0</v>
      </c>
    </row>
    <row r="55" spans="1:10" x14ac:dyDescent="0.3">
      <c r="A55" s="2">
        <v>46246</v>
      </c>
      <c r="B55" t="s">
        <v>1</v>
      </c>
      <c r="C55" t="s">
        <v>2</v>
      </c>
      <c r="D55">
        <v>1</v>
      </c>
      <c r="E55" t="s">
        <v>59</v>
      </c>
      <c r="F55" t="s">
        <v>4</v>
      </c>
      <c r="G55" t="s">
        <v>5</v>
      </c>
      <c r="H55">
        <f>IF(COUNTIFS($A$2:A55,A55,$B$2:B55,B55,$E$2:E55,E55)=1,1,0)</f>
        <v>1</v>
      </c>
      <c r="I55">
        <f>IF(COUNTIFS($A$2:A55,A55,$E$2:E55,E55)=1,1,0)</f>
        <v>1</v>
      </c>
      <c r="J55">
        <f>IF(COUNTIFS($B$2:B55,B55)=1,1,0)</f>
        <v>0</v>
      </c>
    </row>
    <row r="56" spans="1:10" x14ac:dyDescent="0.3">
      <c r="A56" s="2">
        <v>46246</v>
      </c>
      <c r="B56" t="s">
        <v>1</v>
      </c>
      <c r="C56" t="s">
        <v>2</v>
      </c>
      <c r="D56">
        <v>1</v>
      </c>
      <c r="E56" t="s">
        <v>60</v>
      </c>
      <c r="F56" t="s">
        <v>4</v>
      </c>
      <c r="G56" t="s">
        <v>5</v>
      </c>
      <c r="H56">
        <f>IF(COUNTIFS($A$2:A56,A56,$B$2:B56,B56,$E$2:E56,E56)=1,1,0)</f>
        <v>1</v>
      </c>
      <c r="I56">
        <f>IF(COUNTIFS($A$2:A56,A56,$E$2:E56,E56)=1,1,0)</f>
        <v>1</v>
      </c>
      <c r="J56">
        <f>IF(COUNTIFS($B$2:B56,B56)=1,1,0)</f>
        <v>0</v>
      </c>
    </row>
    <row r="57" spans="1:10" x14ac:dyDescent="0.3">
      <c r="A57" s="2">
        <v>46246</v>
      </c>
      <c r="B57" t="s">
        <v>15</v>
      </c>
      <c r="C57" t="s">
        <v>16</v>
      </c>
      <c r="D57">
        <v>0.5</v>
      </c>
      <c r="E57" t="s">
        <v>61</v>
      </c>
      <c r="F57" t="s">
        <v>11</v>
      </c>
      <c r="G57" t="s">
        <v>12</v>
      </c>
      <c r="H57">
        <f>IF(COUNTIFS($A$2:A57,A57,$B$2:B57,B57,$E$2:E57,E57)=1,1,0)</f>
        <v>1</v>
      </c>
      <c r="I57">
        <f>IF(COUNTIFS($A$2:A57,A57,$E$2:E57,E57)=1,1,0)</f>
        <v>1</v>
      </c>
      <c r="J57">
        <f>IF(COUNTIFS($B$2:B57,B57)=1,1,0)</f>
        <v>0</v>
      </c>
    </row>
    <row r="58" spans="1:10" x14ac:dyDescent="0.3">
      <c r="A58" s="2">
        <v>46246</v>
      </c>
      <c r="B58" t="s">
        <v>18</v>
      </c>
      <c r="C58" t="s">
        <v>19</v>
      </c>
      <c r="D58">
        <v>2.5</v>
      </c>
      <c r="E58" t="s">
        <v>61</v>
      </c>
      <c r="F58" t="s">
        <v>20</v>
      </c>
      <c r="G58" t="s">
        <v>5</v>
      </c>
      <c r="H58">
        <f>IF(COUNTIFS($A$2:A58,A58,$B$2:B58,B58,$E$2:E58,E58)=1,1,0)</f>
        <v>1</v>
      </c>
      <c r="I58">
        <f>IF(COUNTIFS($A$2:A58,A58,$E$2:E58,E58)=1,1,0)</f>
        <v>0</v>
      </c>
      <c r="J58">
        <f>IF(COUNTIFS($B$2:B58,B58)=1,1,0)</f>
        <v>0</v>
      </c>
    </row>
    <row r="59" spans="1:10" x14ac:dyDescent="0.3">
      <c r="A59" s="2">
        <v>46246</v>
      </c>
      <c r="B59" t="s">
        <v>18</v>
      </c>
      <c r="C59" t="s">
        <v>19</v>
      </c>
      <c r="D59">
        <v>4.5</v>
      </c>
      <c r="E59" t="s">
        <v>55</v>
      </c>
      <c r="F59" t="s">
        <v>20</v>
      </c>
      <c r="G59" t="s">
        <v>5</v>
      </c>
      <c r="H59">
        <f>IF(COUNTIFS($A$2:A59,A59,$B$2:B59,B59,$E$2:E59,E59)=1,1,0)</f>
        <v>1</v>
      </c>
      <c r="I59">
        <f>IF(COUNTIFS($A$2:A59,A59,$E$2:E59,E59)=1,1,0)</f>
        <v>0</v>
      </c>
      <c r="J59">
        <f>IF(COUNTIFS($B$2:B59,B59)=1,1,0)</f>
        <v>0</v>
      </c>
    </row>
    <row r="60" spans="1:10" x14ac:dyDescent="0.3">
      <c r="A60" s="2">
        <v>46246</v>
      </c>
      <c r="B60" t="s">
        <v>18</v>
      </c>
      <c r="C60" t="s">
        <v>19</v>
      </c>
      <c r="D60">
        <v>6.1669999999999998</v>
      </c>
      <c r="E60" t="s">
        <v>56</v>
      </c>
      <c r="F60" t="s">
        <v>20</v>
      </c>
      <c r="G60" t="s">
        <v>5</v>
      </c>
      <c r="H60">
        <f>IF(COUNTIFS($A$2:A60,A60,$B$2:B60,B60,$E$2:E60,E60)=1,1,0)</f>
        <v>1</v>
      </c>
      <c r="I60">
        <f>IF(COUNTIFS($A$2:A60,A60,$E$2:E60,E60)=1,1,0)</f>
        <v>0</v>
      </c>
      <c r="J60">
        <f>IF(COUNTIFS($B$2:B60,B60)=1,1,0)</f>
        <v>0</v>
      </c>
    </row>
    <row r="61" spans="1:10" x14ac:dyDescent="0.3">
      <c r="A61" s="2">
        <v>46246</v>
      </c>
      <c r="B61" t="s">
        <v>37</v>
      </c>
      <c r="C61" t="s">
        <v>38</v>
      </c>
      <c r="D61">
        <v>0.41699999999999998</v>
      </c>
      <c r="E61" t="s">
        <v>57</v>
      </c>
      <c r="F61" t="s">
        <v>11</v>
      </c>
      <c r="G61" t="s">
        <v>12</v>
      </c>
      <c r="H61">
        <f>IF(COUNTIFS($A$2:A61,A61,$B$2:B61,B61,$E$2:E61,E61)=1,1,0)</f>
        <v>1</v>
      </c>
      <c r="I61">
        <f>IF(COUNTIFS($A$2:A61,A61,$E$2:E61,E61)=1,1,0)</f>
        <v>0</v>
      </c>
      <c r="J61">
        <f>IF(COUNTIFS($B$2:B61,B61)=1,1,0)</f>
        <v>0</v>
      </c>
    </row>
    <row r="62" spans="1:10" x14ac:dyDescent="0.3">
      <c r="A62" s="2">
        <v>46246</v>
      </c>
      <c r="B62" t="s">
        <v>1</v>
      </c>
      <c r="C62" t="s">
        <v>2</v>
      </c>
      <c r="D62">
        <v>0.5</v>
      </c>
      <c r="E62" t="s">
        <v>59</v>
      </c>
      <c r="F62" t="s">
        <v>4</v>
      </c>
      <c r="G62" t="s">
        <v>5</v>
      </c>
      <c r="H62">
        <f>IF(COUNTIFS($A$2:A62,A62,$B$2:B62,B62,$E$2:E62,E62)=1,1,0)</f>
        <v>0</v>
      </c>
      <c r="I62">
        <f>IF(COUNTIFS($A$2:A62,A62,$E$2:E62,E62)=1,1,0)</f>
        <v>0</v>
      </c>
      <c r="J62">
        <f>IF(COUNTIFS($B$2:B62,B62)=1,1,0)</f>
        <v>0</v>
      </c>
    </row>
    <row r="63" spans="1:10" x14ac:dyDescent="0.3">
      <c r="A63" s="2">
        <v>46246</v>
      </c>
      <c r="B63" t="s">
        <v>18</v>
      </c>
      <c r="C63" t="s">
        <v>19</v>
      </c>
      <c r="D63">
        <v>5.5</v>
      </c>
      <c r="E63" t="s">
        <v>60</v>
      </c>
      <c r="F63" t="s">
        <v>20</v>
      </c>
      <c r="G63" t="s">
        <v>5</v>
      </c>
      <c r="H63">
        <f>IF(COUNTIFS($A$2:A63,A63,$B$2:B63,B63,$E$2:E63,E63)=1,1,0)</f>
        <v>1</v>
      </c>
      <c r="I63">
        <f>IF(COUNTIFS($A$2:A63,A63,$E$2:E63,E63)=1,1,0)</f>
        <v>0</v>
      </c>
      <c r="J63">
        <f>IF(COUNTIFS($B$2:B63,B63)=1,1,0)</f>
        <v>0</v>
      </c>
    </row>
    <row r="64" spans="1:10" x14ac:dyDescent="0.3">
      <c r="A64" s="2">
        <v>46246</v>
      </c>
      <c r="B64" t="s">
        <v>18</v>
      </c>
      <c r="C64" t="s">
        <v>19</v>
      </c>
      <c r="D64">
        <v>5</v>
      </c>
      <c r="E64" t="s">
        <v>57</v>
      </c>
      <c r="F64" t="s">
        <v>20</v>
      </c>
      <c r="G64" t="s">
        <v>5</v>
      </c>
      <c r="H64">
        <f>IF(COUNTIFS($A$2:A64,A64,$B$2:B64,B64,$E$2:E64,E64)=1,1,0)</f>
        <v>1</v>
      </c>
      <c r="I64">
        <f>IF(COUNTIFS($A$2:A64,A64,$E$2:E64,E64)=1,1,0)</f>
        <v>0</v>
      </c>
      <c r="J64">
        <f>IF(COUNTIFS($B$2:B64,B64)=1,1,0)</f>
        <v>0</v>
      </c>
    </row>
    <row r="65" spans="1:10" x14ac:dyDescent="0.3">
      <c r="A65" s="2">
        <v>46246</v>
      </c>
      <c r="B65" t="s">
        <v>26</v>
      </c>
      <c r="C65" t="s">
        <v>27</v>
      </c>
      <c r="D65">
        <v>0.25</v>
      </c>
      <c r="E65" t="s">
        <v>59</v>
      </c>
      <c r="F65" t="s">
        <v>28</v>
      </c>
      <c r="G65" t="s">
        <v>12</v>
      </c>
      <c r="H65">
        <f>IF(COUNTIFS($A$2:A65,A65,$B$2:B65,B65,$E$2:E65,E65)=1,1,0)</f>
        <v>1</v>
      </c>
      <c r="I65">
        <f>IF(COUNTIFS($A$2:A65,A65,$E$2:E65,E65)=1,1,0)</f>
        <v>0</v>
      </c>
      <c r="J65">
        <f>IF(COUNTIFS($B$2:B65,B65)=1,1,0)</f>
        <v>0</v>
      </c>
    </row>
    <row r="66" spans="1:10" x14ac:dyDescent="0.3">
      <c r="A66" s="2">
        <v>46246</v>
      </c>
      <c r="B66" t="s">
        <v>26</v>
      </c>
      <c r="C66" t="s">
        <v>27</v>
      </c>
      <c r="D66">
        <v>3.5</v>
      </c>
      <c r="E66" t="s">
        <v>59</v>
      </c>
      <c r="F66" t="s">
        <v>28</v>
      </c>
      <c r="G66" t="s">
        <v>12</v>
      </c>
      <c r="H66">
        <f>IF(COUNTIFS($A$2:A66,A66,$B$2:B66,B66,$E$2:E66,E66)=1,1,0)</f>
        <v>0</v>
      </c>
      <c r="I66">
        <f>IF(COUNTIFS($A$2:A66,A66,$E$2:E66,E66)=1,1,0)</f>
        <v>0</v>
      </c>
      <c r="J66">
        <f>IF(COUNTIFS($B$2:B66,B66)=1,1,0)</f>
        <v>0</v>
      </c>
    </row>
    <row r="67" spans="1:10" x14ac:dyDescent="0.3">
      <c r="A67" s="2">
        <v>46246</v>
      </c>
      <c r="B67" t="s">
        <v>21</v>
      </c>
      <c r="C67" t="s">
        <v>22</v>
      </c>
      <c r="D67">
        <v>0.5</v>
      </c>
      <c r="E67" t="s">
        <v>58</v>
      </c>
      <c r="F67" t="s">
        <v>23</v>
      </c>
      <c r="G67" t="s">
        <v>12</v>
      </c>
      <c r="H67">
        <f>IF(COUNTIFS($A$2:A67,A67,$B$2:B67,B67,$E$2:E67,E67)=1,1,0)</f>
        <v>1</v>
      </c>
      <c r="I67">
        <f>IF(COUNTIFS($A$2:A67,A67,$E$2:E67,E67)=1,1,0)</f>
        <v>0</v>
      </c>
      <c r="J67">
        <f>IF(COUNTIFS($B$2:B67,B67)=1,1,0)</f>
        <v>0</v>
      </c>
    </row>
    <row r="68" spans="1:10" x14ac:dyDescent="0.3">
      <c r="A68" s="2">
        <v>46246</v>
      </c>
      <c r="B68" t="s">
        <v>1</v>
      </c>
      <c r="C68" t="s">
        <v>2</v>
      </c>
      <c r="D68">
        <v>1</v>
      </c>
      <c r="E68" t="s">
        <v>58</v>
      </c>
      <c r="F68" t="s">
        <v>4</v>
      </c>
      <c r="G68" t="s">
        <v>5</v>
      </c>
      <c r="H68">
        <f>IF(COUNTIFS($A$2:A68,A68,$B$2:B68,B68,$E$2:E68,E68)=1,1,0)</f>
        <v>1</v>
      </c>
      <c r="I68">
        <f>IF(COUNTIFS($A$2:A68,A68,$E$2:E68,E68)=1,1,0)</f>
        <v>0</v>
      </c>
      <c r="J68">
        <f>IF(COUNTIFS($B$2:B68,B68)=1,1,0)</f>
        <v>0</v>
      </c>
    </row>
    <row r="69" spans="1:10" x14ac:dyDescent="0.3">
      <c r="A69" s="2">
        <v>46246</v>
      </c>
      <c r="B69" t="s">
        <v>1</v>
      </c>
      <c r="C69" t="s">
        <v>2</v>
      </c>
      <c r="D69">
        <v>1</v>
      </c>
      <c r="E69" t="s">
        <v>61</v>
      </c>
      <c r="F69" t="s">
        <v>4</v>
      </c>
      <c r="G69" t="s">
        <v>5</v>
      </c>
      <c r="H69">
        <f>IF(COUNTIFS($A$2:A69,A69,$B$2:B69,B69,$E$2:E69,E69)=1,1,0)</f>
        <v>1</v>
      </c>
      <c r="I69">
        <f>IF(COUNTIFS($A$2:A69,A69,$E$2:E69,E69)=1,1,0)</f>
        <v>0</v>
      </c>
      <c r="J69">
        <f>IF(COUNTIFS($B$2:B69,B69)=1,1,0)</f>
        <v>0</v>
      </c>
    </row>
    <row r="70" spans="1:10" x14ac:dyDescent="0.3">
      <c r="A70" s="2">
        <v>46246</v>
      </c>
      <c r="B70" t="s">
        <v>18</v>
      </c>
      <c r="C70" t="s">
        <v>19</v>
      </c>
      <c r="D70">
        <v>3.5</v>
      </c>
      <c r="E70" t="s">
        <v>58</v>
      </c>
      <c r="F70" t="s">
        <v>20</v>
      </c>
      <c r="G70" t="s">
        <v>5</v>
      </c>
      <c r="H70">
        <f>IF(COUNTIFS($A$2:A70,A70,$B$2:B70,B70,$E$2:E70,E70)=1,1,0)</f>
        <v>1</v>
      </c>
      <c r="I70">
        <f>IF(COUNTIFS($A$2:A70,A70,$E$2:E70,E70)=1,1,0)</f>
        <v>0</v>
      </c>
      <c r="J70">
        <f>IF(COUNTIFS($B$2:B70,B70)=1,1,0)</f>
        <v>0</v>
      </c>
    </row>
    <row r="71" spans="1:10" x14ac:dyDescent="0.3">
      <c r="A71" s="2">
        <v>46246</v>
      </c>
      <c r="B71" t="s">
        <v>18</v>
      </c>
      <c r="C71" t="s">
        <v>19</v>
      </c>
      <c r="D71">
        <v>3</v>
      </c>
      <c r="E71" t="s">
        <v>61</v>
      </c>
      <c r="F71" t="s">
        <v>20</v>
      </c>
      <c r="G71" t="s">
        <v>5</v>
      </c>
      <c r="H71">
        <f>IF(COUNTIFS($A$2:A71,A71,$B$2:B71,B71,$E$2:E71,E71)=1,1,0)</f>
        <v>0</v>
      </c>
      <c r="I71">
        <f>IF(COUNTIFS($A$2:A71,A71,$E$2:E71,E71)=1,1,0)</f>
        <v>0</v>
      </c>
      <c r="J71">
        <f>IF(COUNTIFS($B$2:B71,B71)=1,1,0)</f>
        <v>0</v>
      </c>
    </row>
    <row r="72" spans="1:10" x14ac:dyDescent="0.3">
      <c r="A72" s="2">
        <v>46246</v>
      </c>
      <c r="B72" t="s">
        <v>18</v>
      </c>
      <c r="C72" t="s">
        <v>19</v>
      </c>
      <c r="D72">
        <v>2.5</v>
      </c>
      <c r="E72" t="s">
        <v>59</v>
      </c>
      <c r="F72" t="s">
        <v>20</v>
      </c>
      <c r="G72" t="s">
        <v>5</v>
      </c>
      <c r="H72">
        <f>IF(COUNTIFS($A$2:A72,A72,$B$2:B72,B72,$E$2:E72,E72)=1,1,0)</f>
        <v>1</v>
      </c>
      <c r="I72">
        <f>IF(COUNTIFS($A$2:A72,A72,$E$2:E72,E72)=1,1,0)</f>
        <v>0</v>
      </c>
      <c r="J72">
        <f>IF(COUNTIFS($B$2:B72,B72)=1,1,0)</f>
        <v>0</v>
      </c>
    </row>
    <row r="73" spans="1:10" x14ac:dyDescent="0.3">
      <c r="A73" s="2">
        <v>46246</v>
      </c>
      <c r="B73" t="s">
        <v>18</v>
      </c>
      <c r="C73" t="s">
        <v>19</v>
      </c>
      <c r="D73">
        <v>1</v>
      </c>
      <c r="E73" t="s">
        <v>55</v>
      </c>
      <c r="F73" t="s">
        <v>20</v>
      </c>
      <c r="G73" t="s">
        <v>5</v>
      </c>
      <c r="H73">
        <f>IF(COUNTIFS($A$2:A73,A73,$B$2:B73,B73,$E$2:E73,E73)=1,1,0)</f>
        <v>0</v>
      </c>
      <c r="I73">
        <f>IF(COUNTIFS($A$2:A73,A73,$E$2:E73,E73)=1,1,0)</f>
        <v>0</v>
      </c>
      <c r="J73">
        <f>IF(COUNTIFS($B$2:B73,B73)=1,1,0)</f>
        <v>0</v>
      </c>
    </row>
    <row r="74" spans="1:10" x14ac:dyDescent="0.3">
      <c r="A74" s="2">
        <v>46247</v>
      </c>
      <c r="B74" t="s">
        <v>39</v>
      </c>
      <c r="C74" t="s">
        <v>40</v>
      </c>
      <c r="D74">
        <v>0.25</v>
      </c>
      <c r="E74" t="s">
        <v>55</v>
      </c>
      <c r="F74" t="s">
        <v>11</v>
      </c>
      <c r="G74" t="s">
        <v>12</v>
      </c>
      <c r="H74">
        <f>IF(COUNTIFS($A$2:A74,A74,$B$2:B74,B74,$E$2:E74,E74)=1,1,0)</f>
        <v>1</v>
      </c>
      <c r="I74">
        <f>IF(COUNTIFS($A$2:A74,A74,$E$2:E74,E74)=1,1,0)</f>
        <v>1</v>
      </c>
      <c r="J74">
        <f>IF(COUNTIFS($B$2:B74,B74)=1,1,0)</f>
        <v>1</v>
      </c>
    </row>
    <row r="75" spans="1:10" x14ac:dyDescent="0.3">
      <c r="A75" s="2">
        <v>46247</v>
      </c>
      <c r="B75" t="s">
        <v>1</v>
      </c>
      <c r="C75" t="s">
        <v>2</v>
      </c>
      <c r="D75">
        <v>1</v>
      </c>
      <c r="E75" t="s">
        <v>56</v>
      </c>
      <c r="F75" t="s">
        <v>4</v>
      </c>
      <c r="G75" t="s">
        <v>5</v>
      </c>
      <c r="H75">
        <f>IF(COUNTIFS($A$2:A75,A75,$B$2:B75,B75,$E$2:E75,E75)=1,1,0)</f>
        <v>1</v>
      </c>
      <c r="I75">
        <f>IF(COUNTIFS($A$2:A75,A75,$E$2:E75,E75)=1,1,0)</f>
        <v>1</v>
      </c>
      <c r="J75">
        <f>IF(COUNTIFS($B$2:B75,B75)=1,1,0)</f>
        <v>0</v>
      </c>
    </row>
    <row r="76" spans="1:10" x14ac:dyDescent="0.3">
      <c r="A76" s="2">
        <v>46247</v>
      </c>
      <c r="B76" t="s">
        <v>41</v>
      </c>
      <c r="C76" t="s">
        <v>42</v>
      </c>
      <c r="D76">
        <v>8.3000000000000004E-2</v>
      </c>
      <c r="E76" t="s">
        <v>57</v>
      </c>
      <c r="F76" t="s">
        <v>11</v>
      </c>
      <c r="G76" t="s">
        <v>12</v>
      </c>
      <c r="H76">
        <f>IF(COUNTIFS($A$2:A76,A76,$B$2:B76,B76,$E$2:E76,E76)=1,1,0)</f>
        <v>1</v>
      </c>
      <c r="I76">
        <f>IF(COUNTIFS($A$2:A76,A76,$E$2:E76,E76)=1,1,0)</f>
        <v>1</v>
      </c>
      <c r="J76">
        <f>IF(COUNTIFS($B$2:B76,B76)=1,1,0)</f>
        <v>1</v>
      </c>
    </row>
    <row r="77" spans="1:10" x14ac:dyDescent="0.3">
      <c r="A77" s="2">
        <v>46247</v>
      </c>
      <c r="B77" t="s">
        <v>31</v>
      </c>
      <c r="C77" t="s">
        <v>32</v>
      </c>
      <c r="D77">
        <v>2.5</v>
      </c>
      <c r="E77" t="s">
        <v>58</v>
      </c>
      <c r="F77" t="s">
        <v>23</v>
      </c>
      <c r="G77" t="s">
        <v>12</v>
      </c>
      <c r="H77">
        <f>IF(COUNTIFS($A$2:A77,A77,$B$2:B77,B77,$E$2:E77,E77)=1,1,0)</f>
        <v>1</v>
      </c>
      <c r="I77">
        <f>IF(COUNTIFS($A$2:A77,A77,$E$2:E77,E77)=1,1,0)</f>
        <v>1</v>
      </c>
      <c r="J77">
        <f>IF(COUNTIFS($B$2:B77,B77)=1,1,0)</f>
        <v>0</v>
      </c>
    </row>
    <row r="78" spans="1:10" x14ac:dyDescent="0.3">
      <c r="A78" s="2">
        <v>46247</v>
      </c>
      <c r="B78" t="s">
        <v>1</v>
      </c>
      <c r="C78" t="s">
        <v>2</v>
      </c>
      <c r="D78">
        <v>1</v>
      </c>
      <c r="E78" t="s">
        <v>59</v>
      </c>
      <c r="F78" t="s">
        <v>4</v>
      </c>
      <c r="G78" t="s">
        <v>5</v>
      </c>
      <c r="H78">
        <f>IF(COUNTIFS($A$2:A78,A78,$B$2:B78,B78,$E$2:E78,E78)=1,1,0)</f>
        <v>1</v>
      </c>
      <c r="I78">
        <f>IF(COUNTIFS($A$2:A78,A78,$E$2:E78,E78)=1,1,0)</f>
        <v>1</v>
      </c>
      <c r="J78">
        <f>IF(COUNTIFS($B$2:B78,B78)=1,1,0)</f>
        <v>0</v>
      </c>
    </row>
    <row r="79" spans="1:10" x14ac:dyDescent="0.3">
      <c r="A79" s="2">
        <v>46247</v>
      </c>
      <c r="B79" t="s">
        <v>1</v>
      </c>
      <c r="C79" t="s">
        <v>2</v>
      </c>
      <c r="D79">
        <v>1</v>
      </c>
      <c r="E79" t="s">
        <v>60</v>
      </c>
      <c r="F79" t="s">
        <v>4</v>
      </c>
      <c r="G79" t="s">
        <v>5</v>
      </c>
      <c r="H79">
        <f>IF(COUNTIFS($A$2:A79,A79,$B$2:B79,B79,$E$2:E79,E79)=1,1,0)</f>
        <v>1</v>
      </c>
      <c r="I79">
        <f>IF(COUNTIFS($A$2:A79,A79,$E$2:E79,E79)=1,1,0)</f>
        <v>1</v>
      </c>
      <c r="J79">
        <f>IF(COUNTIFS($B$2:B79,B79)=1,1,0)</f>
        <v>0</v>
      </c>
    </row>
    <row r="80" spans="1:10" x14ac:dyDescent="0.3">
      <c r="A80" s="2">
        <v>46247</v>
      </c>
      <c r="B80" t="s">
        <v>1</v>
      </c>
      <c r="C80" t="s">
        <v>2</v>
      </c>
      <c r="D80">
        <v>1</v>
      </c>
      <c r="E80" t="s">
        <v>61</v>
      </c>
      <c r="F80" t="s">
        <v>4</v>
      </c>
      <c r="G80" t="s">
        <v>5</v>
      </c>
      <c r="H80">
        <f>IF(COUNTIFS($A$2:A80,A80,$B$2:B80,B80,$E$2:E80,E80)=1,1,0)</f>
        <v>1</v>
      </c>
      <c r="I80">
        <f>IF(COUNTIFS($A$2:A80,A80,$E$2:E80,E80)=1,1,0)</f>
        <v>1</v>
      </c>
      <c r="J80">
        <f>IF(COUNTIFS($B$2:B80,B80)=1,1,0)</f>
        <v>0</v>
      </c>
    </row>
    <row r="81" spans="1:10" x14ac:dyDescent="0.3">
      <c r="A81" s="2">
        <v>46247</v>
      </c>
      <c r="B81" t="s">
        <v>41</v>
      </c>
      <c r="C81" t="s">
        <v>42</v>
      </c>
      <c r="D81">
        <v>0.33300000000000002</v>
      </c>
      <c r="E81" t="s">
        <v>57</v>
      </c>
      <c r="F81" t="s">
        <v>11</v>
      </c>
      <c r="G81" t="s">
        <v>12</v>
      </c>
      <c r="H81">
        <f>IF(COUNTIFS($A$2:A81,A81,$B$2:B81,B81,$E$2:E81,E81)=1,1,0)</f>
        <v>0</v>
      </c>
      <c r="I81">
        <f>IF(COUNTIFS($A$2:A81,A81,$E$2:E81,E81)=1,1,0)</f>
        <v>0</v>
      </c>
      <c r="J81">
        <f>IF(COUNTIFS($B$2:B81,B81)=1,1,0)</f>
        <v>0</v>
      </c>
    </row>
    <row r="82" spans="1:10" x14ac:dyDescent="0.3">
      <c r="A82" s="2">
        <v>46247</v>
      </c>
      <c r="B82" t="s">
        <v>1</v>
      </c>
      <c r="C82" t="s">
        <v>2</v>
      </c>
      <c r="D82">
        <v>1</v>
      </c>
      <c r="E82" t="s">
        <v>55</v>
      </c>
      <c r="F82" t="s">
        <v>4</v>
      </c>
      <c r="G82" t="s">
        <v>5</v>
      </c>
      <c r="H82">
        <f>IF(COUNTIFS($A$2:A82,A82,$B$2:B82,B82,$E$2:E82,E82)=1,1,0)</f>
        <v>1</v>
      </c>
      <c r="I82">
        <f>IF(COUNTIFS($A$2:A82,A82,$E$2:E82,E82)=1,1,0)</f>
        <v>0</v>
      </c>
      <c r="J82">
        <f>IF(COUNTIFS($B$2:B82,B82)=1,1,0)</f>
        <v>0</v>
      </c>
    </row>
    <row r="83" spans="1:10" x14ac:dyDescent="0.3">
      <c r="A83" s="2">
        <v>46247</v>
      </c>
      <c r="B83" t="s">
        <v>41</v>
      </c>
      <c r="C83" t="s">
        <v>42</v>
      </c>
      <c r="D83">
        <v>8.3000000000000004E-2</v>
      </c>
      <c r="E83" t="s">
        <v>57</v>
      </c>
      <c r="F83" t="s">
        <v>11</v>
      </c>
      <c r="G83" t="s">
        <v>12</v>
      </c>
      <c r="H83">
        <f>IF(COUNTIFS($A$2:A83,A83,$B$2:B83,B83,$E$2:E83,E83)=1,1,0)</f>
        <v>0</v>
      </c>
      <c r="I83">
        <f>IF(COUNTIFS($A$2:A83,A83,$E$2:E83,E83)=1,1,0)</f>
        <v>0</v>
      </c>
      <c r="J83">
        <f>IF(COUNTIFS($B$2:B83,B83)=1,1,0)</f>
        <v>0</v>
      </c>
    </row>
    <row r="84" spans="1:10" x14ac:dyDescent="0.3">
      <c r="A84" s="2">
        <v>46247</v>
      </c>
      <c r="B84" t="s">
        <v>41</v>
      </c>
      <c r="C84" t="s">
        <v>42</v>
      </c>
      <c r="D84">
        <v>8.3000000000000004E-2</v>
      </c>
      <c r="E84" t="s">
        <v>57</v>
      </c>
      <c r="F84" t="s">
        <v>11</v>
      </c>
      <c r="G84" t="s">
        <v>12</v>
      </c>
      <c r="H84">
        <f>IF(COUNTIFS($A$2:A84,A84,$B$2:B84,B84,$E$2:E84,E84)=1,1,0)</f>
        <v>0</v>
      </c>
      <c r="I84">
        <f>IF(COUNTIFS($A$2:A84,A84,$E$2:E84,E84)=1,1,0)</f>
        <v>0</v>
      </c>
      <c r="J84">
        <f>IF(COUNTIFS($B$2:B84,B84)=1,1,0)</f>
        <v>0</v>
      </c>
    </row>
    <row r="85" spans="1:10" x14ac:dyDescent="0.3">
      <c r="A85" s="2">
        <v>46247</v>
      </c>
      <c r="B85" t="s">
        <v>1</v>
      </c>
      <c r="C85" t="s">
        <v>2</v>
      </c>
      <c r="D85">
        <v>1</v>
      </c>
      <c r="E85" t="s">
        <v>57</v>
      </c>
      <c r="F85" t="s">
        <v>4</v>
      </c>
      <c r="G85" t="s">
        <v>5</v>
      </c>
      <c r="H85">
        <f>IF(COUNTIFS($A$2:A85,A85,$B$2:B85,B85,$E$2:E85,E85)=1,1,0)</f>
        <v>1</v>
      </c>
      <c r="I85">
        <f>IF(COUNTIFS($A$2:A85,A85,$E$2:E85,E85)=1,1,0)</f>
        <v>0</v>
      </c>
      <c r="J85">
        <f>IF(COUNTIFS($B$2:B85,B85)=1,1,0)</f>
        <v>0</v>
      </c>
    </row>
    <row r="86" spans="1:10" x14ac:dyDescent="0.3">
      <c r="A86" s="2">
        <v>46247</v>
      </c>
      <c r="B86" t="s">
        <v>31</v>
      </c>
      <c r="C86" t="s">
        <v>32</v>
      </c>
      <c r="D86">
        <v>3.5</v>
      </c>
      <c r="E86" t="s">
        <v>56</v>
      </c>
      <c r="F86" t="s">
        <v>23</v>
      </c>
      <c r="G86" t="s">
        <v>12</v>
      </c>
      <c r="H86">
        <f>IF(COUNTIFS($A$2:A86,A86,$B$2:B86,B86,$E$2:E86,E86)=1,1,0)</f>
        <v>1</v>
      </c>
      <c r="I86">
        <f>IF(COUNTIFS($A$2:A86,A86,$E$2:E86,E86)=1,1,0)</f>
        <v>0</v>
      </c>
      <c r="J86">
        <f>IF(COUNTIFS($B$2:B86,B86)=1,1,0)</f>
        <v>0</v>
      </c>
    </row>
    <row r="87" spans="1:10" x14ac:dyDescent="0.3">
      <c r="A87" s="2">
        <v>46247</v>
      </c>
      <c r="B87" t="s">
        <v>1</v>
      </c>
      <c r="C87" t="s">
        <v>2</v>
      </c>
      <c r="D87">
        <v>0.5</v>
      </c>
      <c r="E87" t="s">
        <v>59</v>
      </c>
      <c r="F87" t="s">
        <v>4</v>
      </c>
      <c r="G87" t="s">
        <v>5</v>
      </c>
      <c r="H87">
        <f>IF(COUNTIFS($A$2:A87,A87,$B$2:B87,B87,$E$2:E87,E87)=1,1,0)</f>
        <v>0</v>
      </c>
      <c r="I87">
        <f>IF(COUNTIFS($A$2:A87,A87,$E$2:E87,E87)=1,1,0)</f>
        <v>0</v>
      </c>
      <c r="J87">
        <f>IF(COUNTIFS($B$2:B87,B87)=1,1,0)</f>
        <v>0</v>
      </c>
    </row>
    <row r="88" spans="1:10" x14ac:dyDescent="0.3">
      <c r="A88" s="2">
        <v>46247</v>
      </c>
      <c r="B88" t="s">
        <v>18</v>
      </c>
      <c r="C88" t="s">
        <v>19</v>
      </c>
      <c r="D88">
        <v>5.5</v>
      </c>
      <c r="E88" t="s">
        <v>60</v>
      </c>
      <c r="F88" t="s">
        <v>20</v>
      </c>
      <c r="G88" t="s">
        <v>5</v>
      </c>
      <c r="H88">
        <f>IF(COUNTIFS($A$2:A88,A88,$B$2:B88,B88,$E$2:E88,E88)=1,1,0)</f>
        <v>1</v>
      </c>
      <c r="I88">
        <f>IF(COUNTIFS($A$2:A88,A88,$E$2:E88,E88)=1,1,0)</f>
        <v>0</v>
      </c>
      <c r="J88">
        <f>IF(COUNTIFS($B$2:B88,B88)=1,1,0)</f>
        <v>0</v>
      </c>
    </row>
    <row r="89" spans="1:10" x14ac:dyDescent="0.3">
      <c r="A89" s="2">
        <v>46247</v>
      </c>
      <c r="B89" t="s">
        <v>18</v>
      </c>
      <c r="C89" t="s">
        <v>19</v>
      </c>
      <c r="D89">
        <v>5.25</v>
      </c>
      <c r="E89" t="s">
        <v>61</v>
      </c>
      <c r="F89" t="s">
        <v>20</v>
      </c>
      <c r="G89" t="s">
        <v>5</v>
      </c>
      <c r="H89">
        <f>IF(COUNTIFS($A$2:A89,A89,$B$2:B89,B89,$E$2:E89,E89)=1,1,0)</f>
        <v>1</v>
      </c>
      <c r="I89">
        <f>IF(COUNTIFS($A$2:A89,A89,$E$2:E89,E89)=1,1,0)</f>
        <v>0</v>
      </c>
      <c r="J89">
        <f>IF(COUNTIFS($B$2:B89,B89)=1,1,0)</f>
        <v>0</v>
      </c>
    </row>
    <row r="90" spans="1:10" x14ac:dyDescent="0.3">
      <c r="A90" s="2">
        <v>46247</v>
      </c>
      <c r="B90" t="s">
        <v>18</v>
      </c>
      <c r="C90" t="s">
        <v>19</v>
      </c>
      <c r="D90">
        <v>5</v>
      </c>
      <c r="E90" t="s">
        <v>55</v>
      </c>
      <c r="F90" t="s">
        <v>20</v>
      </c>
      <c r="G90" t="s">
        <v>5</v>
      </c>
      <c r="H90">
        <f>IF(COUNTIFS($A$2:A90,A90,$B$2:B90,B90,$E$2:E90,E90)=1,1,0)</f>
        <v>1</v>
      </c>
      <c r="I90">
        <f>IF(COUNTIFS($A$2:A90,A90,$E$2:E90,E90)=1,1,0)</f>
        <v>0</v>
      </c>
      <c r="J90">
        <f>IF(COUNTIFS($B$2:B90,B90)=1,1,0)</f>
        <v>0</v>
      </c>
    </row>
    <row r="91" spans="1:10" x14ac:dyDescent="0.3">
      <c r="A91" s="2">
        <v>46247</v>
      </c>
      <c r="B91" t="s">
        <v>18</v>
      </c>
      <c r="C91" t="s">
        <v>19</v>
      </c>
      <c r="D91">
        <v>5.6669999999999998</v>
      </c>
      <c r="E91" t="s">
        <v>59</v>
      </c>
      <c r="F91" t="s">
        <v>20</v>
      </c>
      <c r="G91" t="s">
        <v>5</v>
      </c>
      <c r="H91">
        <f>IF(COUNTIFS($A$2:A91,A91,$B$2:B91,B91,$E$2:E91,E91)=1,1,0)</f>
        <v>1</v>
      </c>
      <c r="I91">
        <f>IF(COUNTIFS($A$2:A91,A91,$E$2:E91,E91)=1,1,0)</f>
        <v>0</v>
      </c>
      <c r="J91">
        <f>IF(COUNTIFS($B$2:B91,B91)=1,1,0)</f>
        <v>0</v>
      </c>
    </row>
    <row r="92" spans="1:10" x14ac:dyDescent="0.3">
      <c r="A92" s="2">
        <v>46247</v>
      </c>
      <c r="B92" t="s">
        <v>18</v>
      </c>
      <c r="C92" t="s">
        <v>19</v>
      </c>
      <c r="D92">
        <v>5</v>
      </c>
      <c r="E92" t="s">
        <v>57</v>
      </c>
      <c r="F92" t="s">
        <v>20</v>
      </c>
      <c r="G92" t="s">
        <v>5</v>
      </c>
      <c r="H92">
        <f>IF(COUNTIFS($A$2:A92,A92,$B$2:B92,B92,$E$2:E92,E92)=1,1,0)</f>
        <v>1</v>
      </c>
      <c r="I92">
        <f>IF(COUNTIFS($A$2:A92,A92,$E$2:E92,E92)=1,1,0)</f>
        <v>0</v>
      </c>
      <c r="J92">
        <f>IF(COUNTIFS($B$2:B92,B92)=1,1,0)</f>
        <v>0</v>
      </c>
    </row>
    <row r="93" spans="1:10" x14ac:dyDescent="0.3">
      <c r="A93" s="2">
        <v>46247</v>
      </c>
      <c r="B93" t="s">
        <v>41</v>
      </c>
      <c r="C93" t="s">
        <v>42</v>
      </c>
      <c r="D93">
        <v>0.5</v>
      </c>
      <c r="E93" t="s">
        <v>58</v>
      </c>
      <c r="F93" t="s">
        <v>11</v>
      </c>
      <c r="G93" t="s">
        <v>12</v>
      </c>
      <c r="H93">
        <f>IF(COUNTIFS($A$2:A93,A93,$B$2:B93,B93,$E$2:E93,E93)=1,1,0)</f>
        <v>1</v>
      </c>
      <c r="I93">
        <f>IF(COUNTIFS($A$2:A93,A93,$E$2:E93,E93)=1,1,0)</f>
        <v>0</v>
      </c>
      <c r="J93">
        <f>IF(COUNTIFS($B$2:B93,B93)=1,1,0)</f>
        <v>0</v>
      </c>
    </row>
    <row r="94" spans="1:10" x14ac:dyDescent="0.3">
      <c r="A94" s="2">
        <v>46247</v>
      </c>
      <c r="B94" t="s">
        <v>33</v>
      </c>
      <c r="C94" t="s">
        <v>34</v>
      </c>
      <c r="D94">
        <v>0.75</v>
      </c>
      <c r="E94" t="s">
        <v>58</v>
      </c>
      <c r="F94" t="s">
        <v>23</v>
      </c>
      <c r="G94" t="s">
        <v>12</v>
      </c>
      <c r="H94">
        <f>IF(COUNTIFS($A$2:A94,A94,$B$2:B94,B94,$E$2:E94,E94)=1,1,0)</f>
        <v>1</v>
      </c>
      <c r="I94">
        <f>IF(COUNTIFS($A$2:A94,A94,$E$2:E94,E94)=1,1,0)</f>
        <v>0</v>
      </c>
      <c r="J94">
        <f>IF(COUNTIFS($B$2:B94,B94)=1,1,0)</f>
        <v>0</v>
      </c>
    </row>
    <row r="95" spans="1:10" x14ac:dyDescent="0.3">
      <c r="A95" s="2">
        <v>46247</v>
      </c>
      <c r="B95" t="s">
        <v>1</v>
      </c>
      <c r="C95" t="s">
        <v>2</v>
      </c>
      <c r="D95">
        <v>1</v>
      </c>
      <c r="E95" t="s">
        <v>58</v>
      </c>
      <c r="F95" t="s">
        <v>4</v>
      </c>
      <c r="G95" t="s">
        <v>5</v>
      </c>
      <c r="H95">
        <f>IF(COUNTIFS($A$2:A95,A95,$B$2:B95,B95,$E$2:E95,E95)=1,1,0)</f>
        <v>1</v>
      </c>
      <c r="I95">
        <f>IF(COUNTIFS($A$2:A95,A95,$E$2:E95,E95)=1,1,0)</f>
        <v>0</v>
      </c>
      <c r="J95">
        <f>IF(COUNTIFS($B$2:B95,B95)=1,1,0)</f>
        <v>0</v>
      </c>
    </row>
    <row r="96" spans="1:10" x14ac:dyDescent="0.3">
      <c r="A96" s="2">
        <v>46247</v>
      </c>
      <c r="B96" t="s">
        <v>18</v>
      </c>
      <c r="C96" t="s">
        <v>19</v>
      </c>
      <c r="D96">
        <v>3</v>
      </c>
      <c r="E96" t="s">
        <v>56</v>
      </c>
      <c r="F96" t="s">
        <v>20</v>
      </c>
      <c r="G96" t="s">
        <v>5</v>
      </c>
      <c r="H96">
        <f>IF(COUNTIFS($A$2:A96,A96,$B$2:B96,B96,$E$2:E96,E96)=1,1,0)</f>
        <v>1</v>
      </c>
      <c r="I96">
        <f>IF(COUNTIFS($A$2:A96,A96,$E$2:E96,E96)=1,1,0)</f>
        <v>0</v>
      </c>
      <c r="J96">
        <f>IF(COUNTIFS($B$2:B96,B96)=1,1,0)</f>
        <v>0</v>
      </c>
    </row>
    <row r="97" spans="1:10" x14ac:dyDescent="0.3">
      <c r="A97" s="2">
        <v>46247</v>
      </c>
      <c r="B97" t="s">
        <v>18</v>
      </c>
      <c r="C97" t="s">
        <v>19</v>
      </c>
      <c r="D97">
        <v>3</v>
      </c>
      <c r="E97" t="s">
        <v>58</v>
      </c>
      <c r="F97" t="s">
        <v>20</v>
      </c>
      <c r="G97" t="s">
        <v>5</v>
      </c>
      <c r="H97">
        <f>IF(COUNTIFS($A$2:A97,A97,$B$2:B97,B97,$E$2:E97,E97)=1,1,0)</f>
        <v>1</v>
      </c>
      <c r="I97">
        <f>IF(COUNTIFS($A$2:A97,A97,$E$2:E97,E97)=1,1,0)</f>
        <v>0</v>
      </c>
      <c r="J97">
        <f>IF(COUNTIFS($B$2:B97,B97)=1,1,0)</f>
        <v>0</v>
      </c>
    </row>
    <row r="98" spans="1:10" x14ac:dyDescent="0.3">
      <c r="A98" s="2">
        <v>46247</v>
      </c>
      <c r="B98" t="s">
        <v>26</v>
      </c>
      <c r="C98" t="s">
        <v>27</v>
      </c>
      <c r="D98">
        <v>0.5</v>
      </c>
      <c r="E98" t="s">
        <v>55</v>
      </c>
      <c r="F98" t="s">
        <v>28</v>
      </c>
      <c r="G98" t="s">
        <v>12</v>
      </c>
      <c r="H98">
        <f>IF(COUNTIFS($A$2:A98,A98,$B$2:B98,B98,$E$2:E98,E98)=1,1,0)</f>
        <v>1</v>
      </c>
      <c r="I98">
        <f>IF(COUNTIFS($A$2:A98,A98,$E$2:E98,E98)=1,1,0)</f>
        <v>0</v>
      </c>
      <c r="J98">
        <f>IF(COUNTIFS($B$2:B98,B98)=1,1,0)</f>
        <v>0</v>
      </c>
    </row>
    <row r="99" spans="1:10" x14ac:dyDescent="0.3">
      <c r="A99" s="2">
        <v>46248</v>
      </c>
      <c r="B99" t="s">
        <v>26</v>
      </c>
      <c r="C99" t="s">
        <v>27</v>
      </c>
      <c r="D99">
        <v>1</v>
      </c>
      <c r="E99" t="s">
        <v>55</v>
      </c>
      <c r="F99" t="s">
        <v>28</v>
      </c>
      <c r="G99" t="s">
        <v>12</v>
      </c>
      <c r="H99">
        <f>IF(COUNTIFS($A$2:A99,A99,$B$2:B99,B99,$E$2:E99,E99)=1,1,0)</f>
        <v>1</v>
      </c>
      <c r="I99">
        <f>IF(COUNTIFS($A$2:A99,A99,$E$2:E99,E99)=1,1,0)</f>
        <v>1</v>
      </c>
      <c r="J99">
        <f>IF(COUNTIFS($B$2:B99,B99)=1,1,0)</f>
        <v>0</v>
      </c>
    </row>
    <row r="100" spans="1:10" x14ac:dyDescent="0.3">
      <c r="A100" s="2">
        <v>46248</v>
      </c>
      <c r="B100" t="s">
        <v>43</v>
      </c>
      <c r="C100" t="s">
        <v>44</v>
      </c>
      <c r="D100">
        <v>0.75</v>
      </c>
      <c r="E100" t="s">
        <v>56</v>
      </c>
      <c r="F100" t="s">
        <v>11</v>
      </c>
      <c r="G100" t="s">
        <v>12</v>
      </c>
      <c r="H100">
        <f>IF(COUNTIFS($A$2:A100,A100,$B$2:B100,B100,$E$2:E100,E100)=1,1,0)</f>
        <v>1</v>
      </c>
      <c r="I100">
        <f>IF(COUNTIFS($A$2:A100,A100,$E$2:E100,E100)=1,1,0)</f>
        <v>1</v>
      </c>
      <c r="J100">
        <f>IF(COUNTIFS($B$2:B100,B100)=1,1,0)</f>
        <v>1</v>
      </c>
    </row>
    <row r="101" spans="1:10" x14ac:dyDescent="0.3">
      <c r="A101" s="2">
        <v>46248</v>
      </c>
      <c r="B101" t="s">
        <v>1</v>
      </c>
      <c r="C101" t="s">
        <v>2</v>
      </c>
      <c r="D101">
        <v>1</v>
      </c>
      <c r="E101" t="s">
        <v>57</v>
      </c>
      <c r="F101" t="s">
        <v>4</v>
      </c>
      <c r="G101" t="s">
        <v>5</v>
      </c>
      <c r="H101">
        <f>IF(COUNTIFS($A$2:A101,A101,$B$2:B101,B101,$E$2:E101,E101)=1,1,0)</f>
        <v>1</v>
      </c>
      <c r="I101">
        <f>IF(COUNTIFS($A$2:A101,A101,$E$2:E101,E101)=1,1,0)</f>
        <v>1</v>
      </c>
      <c r="J101">
        <f>IF(COUNTIFS($B$2:B101,B101)=1,1,0)</f>
        <v>0</v>
      </c>
    </row>
    <row r="102" spans="1:10" x14ac:dyDescent="0.3">
      <c r="A102" s="2">
        <v>46248</v>
      </c>
      <c r="B102" t="s">
        <v>43</v>
      </c>
      <c r="C102" t="s">
        <v>44</v>
      </c>
      <c r="D102">
        <v>0.41699999999999998</v>
      </c>
      <c r="E102" t="s">
        <v>58</v>
      </c>
      <c r="F102" t="s">
        <v>11</v>
      </c>
      <c r="G102" t="s">
        <v>12</v>
      </c>
      <c r="H102">
        <f>IF(COUNTIFS($A$2:A102,A102,$B$2:B102,B102,$E$2:E102,E102)=1,1,0)</f>
        <v>1</v>
      </c>
      <c r="I102">
        <f>IF(COUNTIFS($A$2:A102,A102,$E$2:E102,E102)=1,1,0)</f>
        <v>1</v>
      </c>
      <c r="J102">
        <f>IF(COUNTIFS($B$2:B102,B102)=1,1,0)</f>
        <v>0</v>
      </c>
    </row>
    <row r="103" spans="1:10" x14ac:dyDescent="0.3">
      <c r="A103" s="2">
        <v>46248</v>
      </c>
      <c r="B103" t="s">
        <v>45</v>
      </c>
      <c r="C103" t="s">
        <v>46</v>
      </c>
      <c r="D103">
        <v>0.58299999999999996</v>
      </c>
      <c r="E103" t="s">
        <v>59</v>
      </c>
      <c r="F103" t="s">
        <v>23</v>
      </c>
      <c r="G103" t="s">
        <v>12</v>
      </c>
      <c r="H103">
        <f>IF(COUNTIFS($A$2:A103,A103,$B$2:B103,B103,$E$2:E103,E103)=1,1,0)</f>
        <v>1</v>
      </c>
      <c r="I103">
        <f>IF(COUNTIFS($A$2:A103,A103,$E$2:E103,E103)=1,1,0)</f>
        <v>1</v>
      </c>
      <c r="J103">
        <f>IF(COUNTIFS($B$2:B103,B103)=1,1,0)</f>
        <v>1</v>
      </c>
    </row>
    <row r="104" spans="1:10" x14ac:dyDescent="0.3">
      <c r="A104" s="2">
        <v>46248</v>
      </c>
      <c r="B104" t="s">
        <v>45</v>
      </c>
      <c r="C104" t="s">
        <v>46</v>
      </c>
      <c r="D104">
        <v>0.75</v>
      </c>
      <c r="E104" t="s">
        <v>61</v>
      </c>
      <c r="F104" t="s">
        <v>23</v>
      </c>
      <c r="G104" t="s">
        <v>12</v>
      </c>
      <c r="H104">
        <f>IF(COUNTIFS($A$2:A104,A104,$B$2:B104,B104,$E$2:E104,E104)=1,1,0)</f>
        <v>1</v>
      </c>
      <c r="I104">
        <f>IF(COUNTIFS($A$2:A104,A104,$E$2:E104,E104)=1,1,0)</f>
        <v>1</v>
      </c>
      <c r="J104">
        <f>IF(COUNTIFS($B$2:B104,B104)=1,1,0)</f>
        <v>0</v>
      </c>
    </row>
    <row r="105" spans="1:10" x14ac:dyDescent="0.3">
      <c r="A105" s="2">
        <v>46248</v>
      </c>
      <c r="B105" t="s">
        <v>31</v>
      </c>
      <c r="C105" t="s">
        <v>32</v>
      </c>
      <c r="D105">
        <v>0.25</v>
      </c>
      <c r="E105" t="s">
        <v>58</v>
      </c>
      <c r="F105" t="s">
        <v>23</v>
      </c>
      <c r="G105" t="s">
        <v>12</v>
      </c>
      <c r="H105">
        <f>IF(COUNTIFS($A$2:A105,A105,$B$2:B105,B105,$E$2:E105,E105)=1,1,0)</f>
        <v>1</v>
      </c>
      <c r="I105">
        <f>IF(COUNTIFS($A$2:A105,A105,$E$2:E105,E105)=1,1,0)</f>
        <v>0</v>
      </c>
      <c r="J105">
        <f>IF(COUNTIFS($B$2:B105,B105)=1,1,0)</f>
        <v>0</v>
      </c>
    </row>
    <row r="106" spans="1:10" x14ac:dyDescent="0.3">
      <c r="A106" s="2">
        <v>46248</v>
      </c>
      <c r="B106" t="s">
        <v>1</v>
      </c>
      <c r="C106" t="s">
        <v>2</v>
      </c>
      <c r="D106">
        <v>1</v>
      </c>
      <c r="E106" t="s">
        <v>59</v>
      </c>
      <c r="F106" t="s">
        <v>4</v>
      </c>
      <c r="G106" t="s">
        <v>5</v>
      </c>
      <c r="H106">
        <f>IF(COUNTIFS($A$2:A106,A106,$B$2:B106,B106,$E$2:E106,E106)=1,1,0)</f>
        <v>1</v>
      </c>
      <c r="I106">
        <f>IF(COUNTIFS($A$2:A106,A106,$E$2:E106,E106)=1,1,0)</f>
        <v>0</v>
      </c>
      <c r="J106">
        <f>IF(COUNTIFS($B$2:B106,B106)=1,1,0)</f>
        <v>0</v>
      </c>
    </row>
    <row r="107" spans="1:10" x14ac:dyDescent="0.3">
      <c r="A107" s="2">
        <v>46248</v>
      </c>
      <c r="B107" t="s">
        <v>1</v>
      </c>
      <c r="C107" t="s">
        <v>2</v>
      </c>
      <c r="D107">
        <v>1</v>
      </c>
      <c r="E107" t="s">
        <v>58</v>
      </c>
      <c r="F107" t="s">
        <v>4</v>
      </c>
      <c r="G107" t="s">
        <v>5</v>
      </c>
      <c r="H107">
        <f>IF(COUNTIFS($A$2:A107,A107,$B$2:B107,B107,$E$2:E107,E107)=1,1,0)</f>
        <v>1</v>
      </c>
      <c r="I107">
        <f>IF(COUNTIFS($A$2:A107,A107,$E$2:E107,E107)=1,1,0)</f>
        <v>0</v>
      </c>
      <c r="J107">
        <f>IF(COUNTIFS($B$2:B107,B107)=1,1,0)</f>
        <v>0</v>
      </c>
    </row>
    <row r="108" spans="1:10" x14ac:dyDescent="0.3">
      <c r="A108" s="2">
        <v>46248</v>
      </c>
      <c r="B108" t="s">
        <v>1</v>
      </c>
      <c r="C108" t="s">
        <v>2</v>
      </c>
      <c r="D108">
        <v>1</v>
      </c>
      <c r="E108" t="s">
        <v>56</v>
      </c>
      <c r="F108" t="s">
        <v>4</v>
      </c>
      <c r="G108" t="s">
        <v>5</v>
      </c>
      <c r="H108">
        <f>IF(COUNTIFS($A$2:A108,A108,$B$2:B108,B108,$E$2:E108,E108)=1,1,0)</f>
        <v>1</v>
      </c>
      <c r="I108">
        <f>IF(COUNTIFS($A$2:A108,A108,$E$2:E108,E108)=1,1,0)</f>
        <v>0</v>
      </c>
      <c r="J108">
        <f>IF(COUNTIFS($B$2:B108,B108)=1,1,0)</f>
        <v>0</v>
      </c>
    </row>
    <row r="109" spans="1:10" x14ac:dyDescent="0.3">
      <c r="A109" s="2">
        <v>46248</v>
      </c>
      <c r="B109" t="s">
        <v>45</v>
      </c>
      <c r="C109" t="s">
        <v>46</v>
      </c>
      <c r="D109">
        <v>0.5</v>
      </c>
      <c r="E109" t="s">
        <v>61</v>
      </c>
      <c r="F109" t="s">
        <v>23</v>
      </c>
      <c r="G109" t="s">
        <v>12</v>
      </c>
      <c r="H109">
        <f>IF(COUNTIFS($A$2:A109,A109,$B$2:B109,B109,$E$2:E109,E109)=1,1,0)</f>
        <v>0</v>
      </c>
      <c r="I109">
        <f>IF(COUNTIFS($A$2:A109,A109,$E$2:E109,E109)=1,1,0)</f>
        <v>0</v>
      </c>
      <c r="J109">
        <f>IF(COUNTIFS($B$2:B109,B109)=1,1,0)</f>
        <v>0</v>
      </c>
    </row>
    <row r="110" spans="1:10" x14ac:dyDescent="0.3">
      <c r="A110" s="2">
        <v>46248</v>
      </c>
      <c r="B110" t="s">
        <v>1</v>
      </c>
      <c r="C110" t="s">
        <v>2</v>
      </c>
      <c r="D110">
        <v>1</v>
      </c>
      <c r="E110" t="s">
        <v>55</v>
      </c>
      <c r="F110" t="s">
        <v>4</v>
      </c>
      <c r="G110" t="s">
        <v>5</v>
      </c>
      <c r="H110">
        <f>IF(COUNTIFS($A$2:A110,A110,$B$2:B110,B110,$E$2:E110,E110)=1,1,0)</f>
        <v>1</v>
      </c>
      <c r="I110">
        <f>IF(COUNTIFS($A$2:A110,A110,$E$2:E110,E110)=1,1,0)</f>
        <v>0</v>
      </c>
      <c r="J110">
        <f>IF(COUNTIFS($B$2:B110,B110)=1,1,0)</f>
        <v>0</v>
      </c>
    </row>
    <row r="111" spans="1:10" x14ac:dyDescent="0.3">
      <c r="A111" s="2">
        <v>46248</v>
      </c>
      <c r="B111" t="s">
        <v>1</v>
      </c>
      <c r="C111" t="s">
        <v>2</v>
      </c>
      <c r="D111">
        <v>1</v>
      </c>
      <c r="E111" t="s">
        <v>61</v>
      </c>
      <c r="F111" t="s">
        <v>4</v>
      </c>
      <c r="G111" t="s">
        <v>5</v>
      </c>
      <c r="H111">
        <f>IF(COUNTIFS($A$2:A111,A111,$B$2:B111,B111,$E$2:E111,E111)=1,1,0)</f>
        <v>1</v>
      </c>
      <c r="I111">
        <f>IF(COUNTIFS($A$2:A111,A111,$E$2:E111,E111)=1,1,0)</f>
        <v>0</v>
      </c>
      <c r="J111">
        <f>IF(COUNTIFS($B$2:B111,B111)=1,1,0)</f>
        <v>0</v>
      </c>
    </row>
    <row r="112" spans="1:10" x14ac:dyDescent="0.3">
      <c r="A112" s="2">
        <v>46248</v>
      </c>
      <c r="B112" t="s">
        <v>1</v>
      </c>
      <c r="C112" t="s">
        <v>2</v>
      </c>
      <c r="D112">
        <v>0.5</v>
      </c>
      <c r="E112" t="s">
        <v>59</v>
      </c>
      <c r="F112" t="s">
        <v>4</v>
      </c>
      <c r="G112" t="s">
        <v>5</v>
      </c>
      <c r="H112">
        <f>IF(COUNTIFS($A$2:A112,A112,$B$2:B112,B112,$E$2:E112,E112)=1,1,0)</f>
        <v>0</v>
      </c>
      <c r="I112">
        <f>IF(COUNTIFS($A$2:A112,A112,$E$2:E112,E112)=1,1,0)</f>
        <v>0</v>
      </c>
      <c r="J112">
        <f>IF(COUNTIFS($B$2:B112,B112)=1,1,0)</f>
        <v>0</v>
      </c>
    </row>
    <row r="113" spans="1:10" x14ac:dyDescent="0.3">
      <c r="A113" s="2">
        <v>46248</v>
      </c>
      <c r="B113" t="s">
        <v>18</v>
      </c>
      <c r="C113" t="s">
        <v>19</v>
      </c>
      <c r="D113">
        <v>5</v>
      </c>
      <c r="E113" t="s">
        <v>58</v>
      </c>
      <c r="F113" t="s">
        <v>20</v>
      </c>
      <c r="G113" t="s">
        <v>5</v>
      </c>
      <c r="H113">
        <f>IF(COUNTIFS($A$2:A113,A113,$B$2:B113,B113,$E$2:E113,E113)=1,1,0)</f>
        <v>1</v>
      </c>
      <c r="I113">
        <f>IF(COUNTIFS($A$2:A113,A113,$E$2:E113,E113)=1,1,0)</f>
        <v>0</v>
      </c>
      <c r="J113">
        <f>IF(COUNTIFS($B$2:B113,B113)=1,1,0)</f>
        <v>0</v>
      </c>
    </row>
    <row r="114" spans="1:10" x14ac:dyDescent="0.3">
      <c r="A114" s="2">
        <v>46248</v>
      </c>
      <c r="B114" t="s">
        <v>18</v>
      </c>
      <c r="C114" t="s">
        <v>19</v>
      </c>
      <c r="D114">
        <v>5.5</v>
      </c>
      <c r="E114" t="s">
        <v>56</v>
      </c>
      <c r="F114" t="s">
        <v>20</v>
      </c>
      <c r="G114" t="s">
        <v>5</v>
      </c>
      <c r="H114">
        <f>IF(COUNTIFS($A$2:A114,A114,$B$2:B114,B114,$E$2:E114,E114)=1,1,0)</f>
        <v>1</v>
      </c>
      <c r="I114">
        <f>IF(COUNTIFS($A$2:A114,A114,$E$2:E114,E114)=1,1,0)</f>
        <v>0</v>
      </c>
      <c r="J114">
        <f>IF(COUNTIFS($B$2:B114,B114)=1,1,0)</f>
        <v>0</v>
      </c>
    </row>
    <row r="115" spans="1:10" x14ac:dyDescent="0.3">
      <c r="A115" s="2">
        <v>46248</v>
      </c>
      <c r="B115" t="s">
        <v>47</v>
      </c>
      <c r="C115" t="s">
        <v>48</v>
      </c>
      <c r="D115">
        <v>0.5</v>
      </c>
      <c r="E115" t="s">
        <v>55</v>
      </c>
      <c r="F115" t="s">
        <v>11</v>
      </c>
      <c r="G115" t="s">
        <v>12</v>
      </c>
      <c r="H115">
        <f>IF(COUNTIFS($A$2:A115,A115,$B$2:B115,B115,$E$2:E115,E115)=1,1,0)</f>
        <v>1</v>
      </c>
      <c r="I115">
        <f>IF(COUNTIFS($A$2:A115,A115,$E$2:E115,E115)=1,1,0)</f>
        <v>0</v>
      </c>
      <c r="J115">
        <f>IF(COUNTIFS($B$2:B115,B115)=1,1,0)</f>
        <v>1</v>
      </c>
    </row>
    <row r="116" spans="1:10" x14ac:dyDescent="0.3">
      <c r="A116" s="2">
        <v>46248</v>
      </c>
      <c r="B116" t="s">
        <v>18</v>
      </c>
      <c r="C116" t="s">
        <v>19</v>
      </c>
      <c r="D116">
        <v>5.5</v>
      </c>
      <c r="E116" t="s">
        <v>59</v>
      </c>
      <c r="F116" t="s">
        <v>20</v>
      </c>
      <c r="G116" t="s">
        <v>5</v>
      </c>
      <c r="H116">
        <f>IF(COUNTIFS($A$2:A116,A116,$B$2:B116,B116,$E$2:E116,E116)=1,1,0)</f>
        <v>1</v>
      </c>
      <c r="I116">
        <f>IF(COUNTIFS($A$2:A116,A116,$E$2:E116,E116)=1,1,0)</f>
        <v>0</v>
      </c>
      <c r="J116">
        <f>IF(COUNTIFS($B$2:B116,B116)=1,1,0)</f>
        <v>0</v>
      </c>
    </row>
    <row r="117" spans="1:10" x14ac:dyDescent="0.3">
      <c r="A117" s="2">
        <v>46248</v>
      </c>
      <c r="B117" t="s">
        <v>18</v>
      </c>
      <c r="C117" t="s">
        <v>19</v>
      </c>
      <c r="D117">
        <v>4.5</v>
      </c>
      <c r="E117" t="s">
        <v>61</v>
      </c>
      <c r="F117" t="s">
        <v>20</v>
      </c>
      <c r="G117" t="s">
        <v>5</v>
      </c>
      <c r="H117">
        <f>IF(COUNTIFS($A$2:A117,A117,$B$2:B117,B117,$E$2:E117,E117)=1,1,0)</f>
        <v>1</v>
      </c>
      <c r="I117">
        <f>IF(COUNTIFS($A$2:A117,A117,$E$2:E117,E117)=1,1,0)</f>
        <v>0</v>
      </c>
      <c r="J117">
        <f>IF(COUNTIFS($B$2:B117,B117)=1,1,0)</f>
        <v>0</v>
      </c>
    </row>
    <row r="118" spans="1:10" x14ac:dyDescent="0.3">
      <c r="A118" s="2">
        <v>46248</v>
      </c>
      <c r="B118" t="s">
        <v>47</v>
      </c>
      <c r="C118" t="s">
        <v>48</v>
      </c>
      <c r="D118">
        <v>0.75</v>
      </c>
      <c r="E118" t="s">
        <v>55</v>
      </c>
      <c r="F118" t="s">
        <v>11</v>
      </c>
      <c r="G118" t="s">
        <v>12</v>
      </c>
      <c r="H118">
        <f>IF(COUNTIFS($A$2:A118,A118,$B$2:B118,B118,$E$2:E118,E118)=1,1,0)</f>
        <v>0</v>
      </c>
      <c r="I118">
        <f>IF(COUNTIFS($A$2:A118,A118,$E$2:E118,E118)=1,1,0)</f>
        <v>0</v>
      </c>
      <c r="J118">
        <f>IF(COUNTIFS($B$2:B118,B118)=1,1,0)</f>
        <v>0</v>
      </c>
    </row>
    <row r="119" spans="1:10" x14ac:dyDescent="0.3">
      <c r="A119" s="2">
        <v>46248</v>
      </c>
      <c r="B119" t="s">
        <v>47</v>
      </c>
      <c r="C119" t="s">
        <v>48</v>
      </c>
      <c r="D119">
        <v>0.16700000000000001</v>
      </c>
      <c r="E119" t="s">
        <v>55</v>
      </c>
      <c r="F119" t="s">
        <v>11</v>
      </c>
      <c r="G119" t="s">
        <v>12</v>
      </c>
      <c r="H119">
        <f>IF(COUNTIFS($A$2:A119,A119,$B$2:B119,B119,$E$2:E119,E119)=1,1,0)</f>
        <v>0</v>
      </c>
      <c r="I119">
        <f>IF(COUNTIFS($A$2:A119,A119,$E$2:E119,E119)=1,1,0)</f>
        <v>0</v>
      </c>
      <c r="J119">
        <f>IF(COUNTIFS($B$2:B119,B119)=1,1,0)</f>
        <v>0</v>
      </c>
    </row>
    <row r="120" spans="1:10" x14ac:dyDescent="0.3">
      <c r="A120" s="2">
        <v>46248</v>
      </c>
      <c r="B120" t="s">
        <v>47</v>
      </c>
      <c r="C120" t="s">
        <v>48</v>
      </c>
      <c r="D120">
        <v>8.3000000000000004E-2</v>
      </c>
      <c r="E120" t="s">
        <v>55</v>
      </c>
      <c r="F120" t="s">
        <v>11</v>
      </c>
      <c r="G120" t="s">
        <v>12</v>
      </c>
      <c r="H120">
        <f>IF(COUNTIFS($A$2:A120,A120,$B$2:B120,B120,$E$2:E120,E120)=1,1,0)</f>
        <v>0</v>
      </c>
      <c r="I120">
        <f>IF(COUNTIFS($A$2:A120,A120,$E$2:E120,E120)=1,1,0)</f>
        <v>0</v>
      </c>
      <c r="J120">
        <f>IF(COUNTIFS($B$2:B120,B120)=1,1,0)</f>
        <v>0</v>
      </c>
    </row>
    <row r="121" spans="1:10" x14ac:dyDescent="0.3">
      <c r="A121" s="2">
        <v>46248</v>
      </c>
      <c r="B121" t="s">
        <v>18</v>
      </c>
      <c r="C121" t="s">
        <v>19</v>
      </c>
      <c r="D121">
        <v>3.5</v>
      </c>
      <c r="E121" t="s">
        <v>55</v>
      </c>
      <c r="F121" t="s">
        <v>20</v>
      </c>
      <c r="G121" t="s">
        <v>5</v>
      </c>
      <c r="H121">
        <f>IF(COUNTIFS($A$2:A121,A121,$B$2:B121,B121,$E$2:E121,E121)=1,1,0)</f>
        <v>1</v>
      </c>
      <c r="I121">
        <f>IF(COUNTIFS($A$2:A121,A121,$E$2:E121,E121)=1,1,0)</f>
        <v>0</v>
      </c>
      <c r="J121">
        <f>IF(COUNTIFS($B$2:B121,B121)=1,1,0)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63C54-9F94-42AE-8556-2E3E1794D7A7}">
  <sheetPr codeName="Sheet4"/>
  <dimension ref="A1:F60"/>
  <sheetViews>
    <sheetView tabSelected="1" topLeftCell="A46" workbookViewId="0">
      <selection activeCell="B57" sqref="B57"/>
    </sheetView>
  </sheetViews>
  <sheetFormatPr defaultRowHeight="14.4" x14ac:dyDescent="0.3"/>
  <cols>
    <col min="1" max="1" width="14.77734375" customWidth="1"/>
    <col min="2" max="2" width="50.77734375" customWidth="1"/>
    <col min="3" max="3" width="16.77734375" customWidth="1"/>
    <col min="4" max="4" width="13.77734375" customWidth="1"/>
    <col min="5" max="5" width="10.77734375" customWidth="1"/>
    <col min="6" max="6" width="22.77734375" customWidth="1"/>
  </cols>
  <sheetData>
    <row r="1" spans="1:6" ht="17.399999999999999" x14ac:dyDescent="0.3">
      <c r="A1" s="3" t="s">
        <v>69</v>
      </c>
    </row>
    <row r="2" spans="1:6" x14ac:dyDescent="0.3">
      <c r="A2" s="4" t="s">
        <v>70</v>
      </c>
    </row>
    <row r="4" spans="1:6" x14ac:dyDescent="0.3">
      <c r="A4" s="6" t="s">
        <v>71</v>
      </c>
    </row>
    <row r="5" spans="1:6" x14ac:dyDescent="0.3">
      <c r="A5" s="7" t="s">
        <v>63</v>
      </c>
      <c r="B5" s="7" t="s">
        <v>49</v>
      </c>
      <c r="C5" s="7" t="s">
        <v>72</v>
      </c>
      <c r="D5" s="7" t="s">
        <v>73</v>
      </c>
      <c r="E5" s="7" t="s">
        <v>0</v>
      </c>
      <c r="F5" s="7" t="s">
        <v>50</v>
      </c>
    </row>
    <row r="6" spans="1:6" x14ac:dyDescent="0.3">
      <c r="A6" t="s">
        <v>1</v>
      </c>
      <c r="B6" t="s">
        <v>2</v>
      </c>
      <c r="C6">
        <f>SUMPRODUCT((Data!$A$2:$A$121=DATE(2026,8,10))*(Data!$B$2:$B$121="CWL-2916")*Data!$H$2:$H$121)</f>
        <v>7</v>
      </c>
      <c r="D6">
        <f>ROUND(SUMIFS(Data!$D:$D,Data!$A:$A,DATE(2026,8,10),Data!$B:$B,"CWL-2916"),2)</f>
        <v>7.5</v>
      </c>
      <c r="E6" t="s">
        <v>5</v>
      </c>
      <c r="F6" t="s">
        <v>4</v>
      </c>
    </row>
    <row r="7" spans="1:6" x14ac:dyDescent="0.3">
      <c r="A7" t="s">
        <v>8</v>
      </c>
      <c r="B7" t="s">
        <v>9</v>
      </c>
      <c r="C7">
        <f>SUMPRODUCT((Data!$A$2:$A$121=DATE(2026,8,10))*(Data!$B$2:$B$121="CWL-2890")*Data!$H$2:$H$121)</f>
        <v>2</v>
      </c>
      <c r="D7">
        <f>ROUND(SUMIFS(Data!$D:$D,Data!$A:$A,DATE(2026,8,10),Data!$B:$B,"CWL-2890"),2)</f>
        <v>0.75</v>
      </c>
      <c r="E7" t="s">
        <v>12</v>
      </c>
      <c r="F7" t="s">
        <v>11</v>
      </c>
    </row>
    <row r="8" spans="1:6" x14ac:dyDescent="0.3">
      <c r="A8" t="s">
        <v>15</v>
      </c>
      <c r="B8" t="s">
        <v>16</v>
      </c>
      <c r="C8">
        <f>SUMPRODUCT((Data!$A$2:$A$121=DATE(2026,8,10))*(Data!$B$2:$B$121="CWL-2869")*Data!$H$2:$H$121)</f>
        <v>3</v>
      </c>
      <c r="D8">
        <f>ROUND(SUMIFS(Data!$D:$D,Data!$A:$A,DATE(2026,8,10),Data!$B:$B,"CWL-2869"),2)</f>
        <v>5.5</v>
      </c>
      <c r="E8" t="s">
        <v>12</v>
      </c>
      <c r="F8" t="s">
        <v>11</v>
      </c>
    </row>
    <row r="9" spans="1:6" x14ac:dyDescent="0.3">
      <c r="A9" t="s">
        <v>18</v>
      </c>
      <c r="B9" t="s">
        <v>19</v>
      </c>
      <c r="C9">
        <f>SUMPRODUCT((Data!$A$2:$A$121=DATE(2026,8,10))*(Data!$B$2:$B$121="CWL-2464")*Data!$H$2:$H$121)</f>
        <v>5</v>
      </c>
      <c r="D9">
        <f>ROUND(SUMIFS(Data!$D:$D,Data!$A:$A,DATE(2026,8,10),Data!$B:$B,"CWL-2464"),2)</f>
        <v>22.77</v>
      </c>
      <c r="E9" t="s">
        <v>5</v>
      </c>
      <c r="F9" t="s">
        <v>20</v>
      </c>
    </row>
    <row r="10" spans="1:6" x14ac:dyDescent="0.3">
      <c r="A10" t="s">
        <v>21</v>
      </c>
      <c r="B10" t="s">
        <v>22</v>
      </c>
      <c r="C10">
        <f>SUMPRODUCT((Data!$A$2:$A$121=DATE(2026,8,10))*(Data!$B$2:$B$121="CWL-2920")*Data!$H$2:$H$121)</f>
        <v>1</v>
      </c>
      <c r="D10">
        <f>ROUND(SUMIFS(Data!$D:$D,Data!$A:$A,DATE(2026,8,10),Data!$B:$B,"CWL-2920"),2)</f>
        <v>4</v>
      </c>
      <c r="E10" t="s">
        <v>12</v>
      </c>
      <c r="F10" t="s">
        <v>23</v>
      </c>
    </row>
    <row r="11" spans="1:6" x14ac:dyDescent="0.3">
      <c r="A11" t="s">
        <v>24</v>
      </c>
      <c r="B11" t="s">
        <v>25</v>
      </c>
      <c r="C11">
        <f>SUMPRODUCT((Data!$A$2:$A$121=DATE(2026,8,10))*(Data!$B$2:$B$121="CWL-2919")*Data!$H$2:$H$121)</f>
        <v>1</v>
      </c>
      <c r="D11">
        <f>ROUND(SUMIFS(Data!$D:$D,Data!$A:$A,DATE(2026,8,10),Data!$B:$B,"CWL-2919"),2)</f>
        <v>0.5</v>
      </c>
      <c r="E11" t="s">
        <v>12</v>
      </c>
      <c r="F11" t="s">
        <v>11</v>
      </c>
    </row>
    <row r="12" spans="1:6" x14ac:dyDescent="0.3">
      <c r="A12" s="5" t="str">
        <f>"Day Total ("&amp;COUNTA(A6:A11)&amp;" tickets)"</f>
        <v>Day Total (6 tickets)</v>
      </c>
      <c r="D12" s="5">
        <f>ROUND(SUM(D6:D11),2)</f>
        <v>41.02</v>
      </c>
    </row>
    <row r="14" spans="1:6" x14ac:dyDescent="0.3">
      <c r="A14" s="6" t="s">
        <v>74</v>
      </c>
    </row>
    <row r="15" spans="1:6" x14ac:dyDescent="0.3">
      <c r="A15" s="7" t="s">
        <v>63</v>
      </c>
      <c r="B15" s="7" t="s">
        <v>49</v>
      </c>
      <c r="C15" s="7" t="s">
        <v>72</v>
      </c>
      <c r="D15" s="7" t="s">
        <v>73</v>
      </c>
      <c r="E15" s="7" t="s">
        <v>0</v>
      </c>
      <c r="F15" s="7" t="s">
        <v>50</v>
      </c>
    </row>
    <row r="16" spans="1:6" x14ac:dyDescent="0.3">
      <c r="A16" t="s">
        <v>26</v>
      </c>
      <c r="B16" t="s">
        <v>27</v>
      </c>
      <c r="C16">
        <f>SUMPRODUCT((Data!$A$2:$A$121=DATE(2026,8,11))*(Data!$B$2:$B$121="CWL-2921")*Data!$H$2:$H$121)</f>
        <v>1</v>
      </c>
      <c r="D16">
        <f>ROUND(SUMIFS(Data!$D:$D,Data!$A:$A,DATE(2026,8,11),Data!$B:$B,"CWL-2921"),2)</f>
        <v>6</v>
      </c>
      <c r="E16" t="s">
        <v>12</v>
      </c>
      <c r="F16" t="s">
        <v>28</v>
      </c>
    </row>
    <row r="17" spans="1:6" x14ac:dyDescent="0.3">
      <c r="A17" t="s">
        <v>1</v>
      </c>
      <c r="B17" t="s">
        <v>2</v>
      </c>
      <c r="C17">
        <f>SUMPRODUCT((Data!$A$2:$A$121=DATE(2026,8,11))*(Data!$B$2:$B$121="CWL-2916")*Data!$H$2:$H$121)</f>
        <v>7</v>
      </c>
      <c r="D17">
        <f>ROUND(SUMIFS(Data!$D:$D,Data!$A:$A,DATE(2026,8,11),Data!$B:$B,"CWL-2916"),2)</f>
        <v>7.5</v>
      </c>
      <c r="E17" t="s">
        <v>5</v>
      </c>
      <c r="F17" t="s">
        <v>4</v>
      </c>
    </row>
    <row r="18" spans="1:6" x14ac:dyDescent="0.3">
      <c r="A18" t="s">
        <v>29</v>
      </c>
      <c r="B18" t="s">
        <v>30</v>
      </c>
      <c r="C18">
        <f>SUMPRODUCT((Data!$A$2:$A$121=DATE(2026,8,11))*(Data!$B$2:$B$121="CWL-2922")*Data!$H$2:$H$121)</f>
        <v>2</v>
      </c>
      <c r="D18">
        <f>ROUND(SUMIFS(Data!$D:$D,Data!$A:$A,DATE(2026,8,11),Data!$B:$B,"CWL-2922"),2)</f>
        <v>0.83</v>
      </c>
      <c r="E18" t="s">
        <v>12</v>
      </c>
      <c r="F18" t="s">
        <v>11</v>
      </c>
    </row>
    <row r="19" spans="1:6" x14ac:dyDescent="0.3">
      <c r="A19" t="s">
        <v>15</v>
      </c>
      <c r="B19" t="s">
        <v>16</v>
      </c>
      <c r="C19">
        <f>SUMPRODUCT((Data!$A$2:$A$121=DATE(2026,8,11))*(Data!$B$2:$B$121="CWL-2869")*Data!$H$2:$H$121)</f>
        <v>3</v>
      </c>
      <c r="D19">
        <f>ROUND(SUMIFS(Data!$D:$D,Data!$A:$A,DATE(2026,8,11),Data!$B:$B,"CWL-2869"),2)</f>
        <v>6</v>
      </c>
      <c r="E19" t="s">
        <v>12</v>
      </c>
      <c r="F19" t="s">
        <v>11</v>
      </c>
    </row>
    <row r="20" spans="1:6" x14ac:dyDescent="0.3">
      <c r="A20" t="s">
        <v>21</v>
      </c>
      <c r="B20" t="s">
        <v>22</v>
      </c>
      <c r="C20">
        <f>SUMPRODUCT((Data!$A$2:$A$121=DATE(2026,8,11))*(Data!$B$2:$B$121="CWL-2920")*Data!$H$2:$H$121)</f>
        <v>2</v>
      </c>
      <c r="D20">
        <f>ROUND(SUMIFS(Data!$D:$D,Data!$A:$A,DATE(2026,8,11),Data!$B:$B,"CWL-2920"),2)</f>
        <v>6</v>
      </c>
      <c r="E20" t="s">
        <v>12</v>
      </c>
      <c r="F20" t="s">
        <v>23</v>
      </c>
    </row>
    <row r="21" spans="1:6" x14ac:dyDescent="0.3">
      <c r="A21" t="s">
        <v>31</v>
      </c>
      <c r="B21" t="s">
        <v>32</v>
      </c>
      <c r="C21">
        <f>SUMPRODUCT((Data!$A$2:$A$121=DATE(2026,8,11))*(Data!$B$2:$B$121="CWL-2910")*Data!$H$2:$H$121)</f>
        <v>1</v>
      </c>
      <c r="D21">
        <f>ROUND(SUMIFS(Data!$D:$D,Data!$A:$A,DATE(2026,8,11),Data!$B:$B,"CWL-2910"),2)</f>
        <v>1</v>
      </c>
      <c r="E21" t="s">
        <v>12</v>
      </c>
      <c r="F21" t="s">
        <v>23</v>
      </c>
    </row>
    <row r="22" spans="1:6" x14ac:dyDescent="0.3">
      <c r="A22" t="s">
        <v>33</v>
      </c>
      <c r="B22" t="s">
        <v>34</v>
      </c>
      <c r="C22">
        <f>SUMPRODUCT((Data!$A$2:$A$121=DATE(2026,8,11))*(Data!$B$2:$B$121="CWL-2889")*Data!$H$2:$H$121)</f>
        <v>1</v>
      </c>
      <c r="D22">
        <f>ROUND(SUMIFS(Data!$D:$D,Data!$A:$A,DATE(2026,8,11),Data!$B:$B,"CWL-2889"),2)</f>
        <v>5.5</v>
      </c>
      <c r="E22" t="s">
        <v>12</v>
      </c>
      <c r="F22" t="s">
        <v>23</v>
      </c>
    </row>
    <row r="23" spans="1:6" x14ac:dyDescent="0.3">
      <c r="A23" t="s">
        <v>35</v>
      </c>
      <c r="B23" t="s">
        <v>36</v>
      </c>
      <c r="C23">
        <f>SUMPRODUCT((Data!$A$2:$A$121=DATE(2026,8,11))*(Data!$B$2:$B$121="CWL-2923")*Data!$H$2:$H$121)</f>
        <v>2</v>
      </c>
      <c r="D23">
        <f>ROUND(SUMIFS(Data!$D:$D,Data!$A:$A,DATE(2026,8,11),Data!$B:$B,"CWL-2923"),2)</f>
        <v>1.17</v>
      </c>
      <c r="E23" t="s">
        <v>12</v>
      </c>
      <c r="F23" t="s">
        <v>23</v>
      </c>
    </row>
    <row r="24" spans="1:6" x14ac:dyDescent="0.3">
      <c r="A24" t="s">
        <v>18</v>
      </c>
      <c r="B24" t="s">
        <v>19</v>
      </c>
      <c r="C24">
        <f>SUMPRODUCT((Data!$A$2:$A$121=DATE(2026,8,11))*(Data!$B$2:$B$121="CWL-2464")*Data!$H$2:$H$121)</f>
        <v>4</v>
      </c>
      <c r="D24">
        <f>ROUND(SUMIFS(Data!$D:$D,Data!$A:$A,DATE(2026,8,11),Data!$B:$B,"CWL-2464"),2)</f>
        <v>15.25</v>
      </c>
      <c r="E24" t="s">
        <v>5</v>
      </c>
      <c r="F24" t="s">
        <v>20</v>
      </c>
    </row>
    <row r="25" spans="1:6" x14ac:dyDescent="0.3">
      <c r="A25" t="s">
        <v>37</v>
      </c>
      <c r="B25" t="s">
        <v>38</v>
      </c>
      <c r="C25">
        <f>SUMPRODUCT((Data!$A$2:$A$121=DATE(2026,8,11))*(Data!$B$2:$B$121="CWL-2918")*Data!$H$2:$H$121)</f>
        <v>1</v>
      </c>
      <c r="D25">
        <f>ROUND(SUMIFS(Data!$D:$D,Data!$A:$A,DATE(2026,8,11),Data!$B:$B,"CWL-2918"),2)</f>
        <v>0.17</v>
      </c>
      <c r="E25" t="s">
        <v>12</v>
      </c>
      <c r="F25" t="s">
        <v>11</v>
      </c>
    </row>
    <row r="26" spans="1:6" x14ac:dyDescent="0.3">
      <c r="A26" t="s">
        <v>24</v>
      </c>
      <c r="B26" t="s">
        <v>25</v>
      </c>
      <c r="C26">
        <f>SUMPRODUCT((Data!$A$2:$A$121=DATE(2026,8,11))*(Data!$B$2:$B$121="CWL-2919")*Data!$H$2:$H$121)</f>
        <v>1</v>
      </c>
      <c r="D26">
        <f>ROUND(SUMIFS(Data!$D:$D,Data!$A:$A,DATE(2026,8,11),Data!$B:$B,"CWL-2919"),2)</f>
        <v>0.25</v>
      </c>
      <c r="E26" t="s">
        <v>12</v>
      </c>
      <c r="F26" t="s">
        <v>11</v>
      </c>
    </row>
    <row r="27" spans="1:6" x14ac:dyDescent="0.3">
      <c r="A27" s="5" t="str">
        <f>"Day Total ("&amp;COUNTA(A16:A26)&amp;" tickets)"</f>
        <v>Day Total (11 tickets)</v>
      </c>
      <c r="D27" s="5">
        <f>ROUND(SUM(D16:D26),2)</f>
        <v>49.67</v>
      </c>
    </row>
    <row r="29" spans="1:6" x14ac:dyDescent="0.3">
      <c r="A29" s="6" t="s">
        <v>75</v>
      </c>
    </row>
    <row r="30" spans="1:6" x14ac:dyDescent="0.3">
      <c r="A30" s="7" t="s">
        <v>63</v>
      </c>
      <c r="B30" s="7" t="s">
        <v>49</v>
      </c>
      <c r="C30" s="7" t="s">
        <v>72</v>
      </c>
      <c r="D30" s="7" t="s">
        <v>73</v>
      </c>
      <c r="E30" s="7" t="s">
        <v>0</v>
      </c>
      <c r="F30" s="7" t="s">
        <v>50</v>
      </c>
    </row>
    <row r="31" spans="1:6" x14ac:dyDescent="0.3">
      <c r="A31" t="s">
        <v>1</v>
      </c>
      <c r="B31" t="s">
        <v>2</v>
      </c>
      <c r="C31">
        <f>SUMPRODUCT((Data!$A$2:$A$121=DATE(2026,8,12))*(Data!$B$2:$B$121="CWL-2916")*Data!$H$2:$H$121)</f>
        <v>7</v>
      </c>
      <c r="D31">
        <f>ROUND(SUMIFS(Data!$D:$D,Data!$A:$A,DATE(2026,8,12),Data!$B:$B,"CWL-2916"),2)</f>
        <v>7.5</v>
      </c>
      <c r="E31" t="s">
        <v>5</v>
      </c>
      <c r="F31" t="s">
        <v>4</v>
      </c>
    </row>
    <row r="32" spans="1:6" x14ac:dyDescent="0.3">
      <c r="A32" t="s">
        <v>33</v>
      </c>
      <c r="B32" t="s">
        <v>34</v>
      </c>
      <c r="C32">
        <f>SUMPRODUCT((Data!$A$2:$A$121=DATE(2026,8,12))*(Data!$B$2:$B$121="CWL-2889")*Data!$H$2:$H$121)</f>
        <v>1</v>
      </c>
      <c r="D32">
        <f>ROUND(SUMIFS(Data!$D:$D,Data!$A:$A,DATE(2026,8,12),Data!$B:$B,"CWL-2889"),2)</f>
        <v>2</v>
      </c>
      <c r="E32" t="s">
        <v>12</v>
      </c>
      <c r="F32" t="s">
        <v>23</v>
      </c>
    </row>
    <row r="33" spans="1:6" x14ac:dyDescent="0.3">
      <c r="A33" t="s">
        <v>15</v>
      </c>
      <c r="B33" t="s">
        <v>16</v>
      </c>
      <c r="C33">
        <f>SUMPRODUCT((Data!$A$2:$A$121=DATE(2026,8,12))*(Data!$B$2:$B$121="CWL-2869")*Data!$H$2:$H$121)</f>
        <v>1</v>
      </c>
      <c r="D33">
        <f>ROUND(SUMIFS(Data!$D:$D,Data!$A:$A,DATE(2026,8,12),Data!$B:$B,"CWL-2869"),2)</f>
        <v>0.5</v>
      </c>
      <c r="E33" t="s">
        <v>12</v>
      </c>
      <c r="F33" t="s">
        <v>11</v>
      </c>
    </row>
    <row r="34" spans="1:6" x14ac:dyDescent="0.3">
      <c r="A34" t="s">
        <v>18</v>
      </c>
      <c r="B34" t="s">
        <v>19</v>
      </c>
      <c r="C34">
        <f>SUMPRODUCT((Data!$A$2:$A$121=DATE(2026,8,12))*(Data!$B$2:$B$121="CWL-2464")*Data!$H$2:$H$121)</f>
        <v>7</v>
      </c>
      <c r="D34">
        <f>ROUND(SUMIFS(Data!$D:$D,Data!$A:$A,DATE(2026,8,12),Data!$B:$B,"CWL-2464"),2)</f>
        <v>33.67</v>
      </c>
      <c r="E34" t="s">
        <v>5</v>
      </c>
      <c r="F34" t="s">
        <v>20</v>
      </c>
    </row>
    <row r="35" spans="1:6" x14ac:dyDescent="0.3">
      <c r="A35" t="s">
        <v>37</v>
      </c>
      <c r="B35" t="s">
        <v>38</v>
      </c>
      <c r="C35">
        <f>SUMPRODUCT((Data!$A$2:$A$121=DATE(2026,8,12))*(Data!$B$2:$B$121="CWL-2918")*Data!$H$2:$H$121)</f>
        <v>1</v>
      </c>
      <c r="D35">
        <f>ROUND(SUMIFS(Data!$D:$D,Data!$A:$A,DATE(2026,8,12),Data!$B:$B,"CWL-2918"),2)</f>
        <v>0.42</v>
      </c>
      <c r="E35" t="s">
        <v>12</v>
      </c>
      <c r="F35" t="s">
        <v>11</v>
      </c>
    </row>
    <row r="36" spans="1:6" x14ac:dyDescent="0.3">
      <c r="A36" t="s">
        <v>26</v>
      </c>
      <c r="B36" t="s">
        <v>27</v>
      </c>
      <c r="C36">
        <f>SUMPRODUCT((Data!$A$2:$A$121=DATE(2026,8,12))*(Data!$B$2:$B$121="CWL-2921")*Data!$H$2:$H$121)</f>
        <v>1</v>
      </c>
      <c r="D36">
        <f>ROUND(SUMIFS(Data!$D:$D,Data!$A:$A,DATE(2026,8,12),Data!$B:$B,"CWL-2921"),2)</f>
        <v>3.75</v>
      </c>
      <c r="E36" t="s">
        <v>12</v>
      </c>
      <c r="F36" t="s">
        <v>28</v>
      </c>
    </row>
    <row r="37" spans="1:6" x14ac:dyDescent="0.3">
      <c r="A37" t="s">
        <v>21</v>
      </c>
      <c r="B37" t="s">
        <v>22</v>
      </c>
      <c r="C37">
        <f>SUMPRODUCT((Data!$A$2:$A$121=DATE(2026,8,12))*(Data!$B$2:$B$121="CWL-2920")*Data!$H$2:$H$121)</f>
        <v>1</v>
      </c>
      <c r="D37">
        <f>ROUND(SUMIFS(Data!$D:$D,Data!$A:$A,DATE(2026,8,12),Data!$B:$B,"CWL-2920"),2)</f>
        <v>0.5</v>
      </c>
      <c r="E37" t="s">
        <v>12</v>
      </c>
      <c r="F37" t="s">
        <v>23</v>
      </c>
    </row>
    <row r="38" spans="1:6" x14ac:dyDescent="0.3">
      <c r="A38" s="5" t="str">
        <f>"Day Total ("&amp;COUNTA(A31:A37)&amp;" tickets)"</f>
        <v>Day Total (7 tickets)</v>
      </c>
      <c r="D38" s="5">
        <f>ROUND(SUM(D31:D37),2)</f>
        <v>48.34</v>
      </c>
    </row>
    <row r="40" spans="1:6" x14ac:dyDescent="0.3">
      <c r="A40" s="6" t="s">
        <v>76</v>
      </c>
    </row>
    <row r="41" spans="1:6" x14ac:dyDescent="0.3">
      <c r="A41" s="7" t="s">
        <v>63</v>
      </c>
      <c r="B41" s="7" t="s">
        <v>49</v>
      </c>
      <c r="C41" s="7" t="s">
        <v>72</v>
      </c>
      <c r="D41" s="7" t="s">
        <v>73</v>
      </c>
      <c r="E41" s="7" t="s">
        <v>0</v>
      </c>
      <c r="F41" s="7" t="s">
        <v>50</v>
      </c>
    </row>
    <row r="42" spans="1:6" x14ac:dyDescent="0.3">
      <c r="A42" t="s">
        <v>39</v>
      </c>
      <c r="B42" t="s">
        <v>40</v>
      </c>
      <c r="C42">
        <f>SUMPRODUCT((Data!$A$2:$A$121=DATE(2026,8,13))*(Data!$B$2:$B$121="CWL-2912")*Data!$H$2:$H$121)</f>
        <v>1</v>
      </c>
      <c r="D42">
        <f>ROUND(SUMIFS(Data!$D:$D,Data!$A:$A,DATE(2026,8,13),Data!$B:$B,"CWL-2912"),2)</f>
        <v>0.25</v>
      </c>
      <c r="E42" t="s">
        <v>12</v>
      </c>
      <c r="F42" t="s">
        <v>11</v>
      </c>
    </row>
    <row r="43" spans="1:6" x14ac:dyDescent="0.3">
      <c r="A43" t="s">
        <v>1</v>
      </c>
      <c r="B43" t="s">
        <v>2</v>
      </c>
      <c r="C43">
        <f>SUMPRODUCT((Data!$A$2:$A$121=DATE(2026,8,13))*(Data!$B$2:$B$121="CWL-2916")*Data!$H$2:$H$121)</f>
        <v>7</v>
      </c>
      <c r="D43">
        <f>ROUND(SUMIFS(Data!$D:$D,Data!$A:$A,DATE(2026,8,13),Data!$B:$B,"CWL-2916"),2)</f>
        <v>7.5</v>
      </c>
      <c r="E43" t="s">
        <v>5</v>
      </c>
      <c r="F43" t="s">
        <v>4</v>
      </c>
    </row>
    <row r="44" spans="1:6" x14ac:dyDescent="0.3">
      <c r="A44" t="s">
        <v>41</v>
      </c>
      <c r="B44" t="s">
        <v>42</v>
      </c>
      <c r="C44">
        <f>SUMPRODUCT((Data!$A$2:$A$121=DATE(2026,8,13))*(Data!$B$2:$B$121="CWL-2924")*Data!$H$2:$H$121)</f>
        <v>2</v>
      </c>
      <c r="D44">
        <f>ROUND(SUMIFS(Data!$D:$D,Data!$A:$A,DATE(2026,8,13),Data!$B:$B,"CWL-2924"),2)</f>
        <v>1.08</v>
      </c>
      <c r="E44" t="s">
        <v>12</v>
      </c>
      <c r="F44" t="s">
        <v>11</v>
      </c>
    </row>
    <row r="45" spans="1:6" x14ac:dyDescent="0.3">
      <c r="A45" t="s">
        <v>31</v>
      </c>
      <c r="B45" t="s">
        <v>32</v>
      </c>
      <c r="C45">
        <f>SUMPRODUCT((Data!$A$2:$A$121=DATE(2026,8,13))*(Data!$B$2:$B$121="CWL-2910")*Data!$H$2:$H$121)</f>
        <v>2</v>
      </c>
      <c r="D45">
        <f>ROUND(SUMIFS(Data!$D:$D,Data!$A:$A,DATE(2026,8,13),Data!$B:$B,"CWL-2910"),2)</f>
        <v>6</v>
      </c>
      <c r="E45" t="s">
        <v>12</v>
      </c>
      <c r="F45" t="s">
        <v>23</v>
      </c>
    </row>
    <row r="46" spans="1:6" x14ac:dyDescent="0.3">
      <c r="A46" t="s">
        <v>18</v>
      </c>
      <c r="B46" t="s">
        <v>19</v>
      </c>
      <c r="C46">
        <f>SUMPRODUCT((Data!$A$2:$A$121=DATE(2026,8,13))*(Data!$B$2:$B$121="CWL-2464")*Data!$H$2:$H$121)</f>
        <v>7</v>
      </c>
      <c r="D46">
        <f>ROUND(SUMIFS(Data!$D:$D,Data!$A:$A,DATE(2026,8,13),Data!$B:$B,"CWL-2464"),2)</f>
        <v>32.42</v>
      </c>
      <c r="E46" t="s">
        <v>5</v>
      </c>
      <c r="F46" t="s">
        <v>20</v>
      </c>
    </row>
    <row r="47" spans="1:6" x14ac:dyDescent="0.3">
      <c r="A47" t="s">
        <v>33</v>
      </c>
      <c r="B47" t="s">
        <v>34</v>
      </c>
      <c r="C47">
        <f>SUMPRODUCT((Data!$A$2:$A$121=DATE(2026,8,13))*(Data!$B$2:$B$121="CWL-2889")*Data!$H$2:$H$121)</f>
        <v>1</v>
      </c>
      <c r="D47">
        <f>ROUND(SUMIFS(Data!$D:$D,Data!$A:$A,DATE(2026,8,13),Data!$B:$B,"CWL-2889"),2)</f>
        <v>0.75</v>
      </c>
      <c r="E47" t="s">
        <v>12</v>
      </c>
      <c r="F47" t="s">
        <v>23</v>
      </c>
    </row>
    <row r="48" spans="1:6" x14ac:dyDescent="0.3">
      <c r="A48" t="s">
        <v>26</v>
      </c>
      <c r="B48" t="s">
        <v>27</v>
      </c>
      <c r="C48">
        <f>SUMPRODUCT((Data!$A$2:$A$121=DATE(2026,8,13))*(Data!$B$2:$B$121="CWL-2921")*Data!$H$2:$H$121)</f>
        <v>1</v>
      </c>
      <c r="D48">
        <f>ROUND(SUMIFS(Data!$D:$D,Data!$A:$A,DATE(2026,8,13),Data!$B:$B,"CWL-2921"),2)</f>
        <v>0.5</v>
      </c>
      <c r="E48" t="s">
        <v>12</v>
      </c>
      <c r="F48" t="s">
        <v>28</v>
      </c>
    </row>
    <row r="49" spans="1:6" x14ac:dyDescent="0.3">
      <c r="A49" s="5" t="str">
        <f>"Day Total ("&amp;COUNTA(A42:A48)&amp;" tickets)"</f>
        <v>Day Total (7 tickets)</v>
      </c>
      <c r="D49" s="5">
        <f>ROUND(SUM(D42:D48),2)</f>
        <v>48.5</v>
      </c>
    </row>
    <row r="51" spans="1:6" x14ac:dyDescent="0.3">
      <c r="A51" s="6" t="s">
        <v>77</v>
      </c>
    </row>
    <row r="52" spans="1:6" x14ac:dyDescent="0.3">
      <c r="A52" s="7" t="s">
        <v>63</v>
      </c>
      <c r="B52" s="7" t="s">
        <v>49</v>
      </c>
      <c r="C52" s="7" t="s">
        <v>72</v>
      </c>
      <c r="D52" s="7" t="s">
        <v>73</v>
      </c>
      <c r="E52" s="7" t="s">
        <v>0</v>
      </c>
      <c r="F52" s="7" t="s">
        <v>50</v>
      </c>
    </row>
    <row r="53" spans="1:6" x14ac:dyDescent="0.3">
      <c r="A53" t="s">
        <v>26</v>
      </c>
      <c r="B53" t="s">
        <v>27</v>
      </c>
      <c r="C53">
        <f>SUMPRODUCT((Data!$A$2:$A$121=DATE(2026,8,14))*(Data!$B$2:$B$121="CWL-2921")*Data!$H$2:$H$121)</f>
        <v>1</v>
      </c>
      <c r="D53">
        <f>ROUND(SUMIFS(Data!$D:$D,Data!$A:$A,DATE(2026,8,14),Data!$B:$B,"CWL-2921"),2)</f>
        <v>1</v>
      </c>
      <c r="E53" t="s">
        <v>12</v>
      </c>
      <c r="F53" t="s">
        <v>28</v>
      </c>
    </row>
    <row r="54" spans="1:6" x14ac:dyDescent="0.3">
      <c r="A54" t="s">
        <v>43</v>
      </c>
      <c r="B54" t="s">
        <v>44</v>
      </c>
      <c r="C54">
        <f>SUMPRODUCT((Data!$A$2:$A$121=DATE(2026,8,14))*(Data!$B$2:$B$121="CWL-2927")*Data!$H$2:$H$121)</f>
        <v>2</v>
      </c>
      <c r="D54">
        <f>ROUND(SUMIFS(Data!$D:$D,Data!$A:$A,DATE(2026,8,14),Data!$B:$B,"CWL-2927"),2)</f>
        <v>1.17</v>
      </c>
      <c r="E54" t="s">
        <v>12</v>
      </c>
      <c r="F54" t="s">
        <v>11</v>
      </c>
    </row>
    <row r="55" spans="1:6" x14ac:dyDescent="0.3">
      <c r="A55" t="s">
        <v>1</v>
      </c>
      <c r="B55" t="s">
        <v>2</v>
      </c>
      <c r="C55">
        <f>SUMPRODUCT((Data!$A$2:$A$121=DATE(2026,8,14))*(Data!$B$2:$B$121="CWL-2916")*Data!$H$2:$H$121)</f>
        <v>6</v>
      </c>
      <c r="D55">
        <f>ROUND(SUMIFS(Data!$D:$D,Data!$A:$A,DATE(2026,8,14),Data!$B:$B,"CWL-2916"),2)</f>
        <v>6.5</v>
      </c>
      <c r="E55" t="s">
        <v>5</v>
      </c>
      <c r="F55" t="s">
        <v>4</v>
      </c>
    </row>
    <row r="56" spans="1:6" x14ac:dyDescent="0.3">
      <c r="A56" t="s">
        <v>45</v>
      </c>
      <c r="B56" t="s">
        <v>46</v>
      </c>
      <c r="C56">
        <f>SUMPRODUCT((Data!$A$2:$A$121=DATE(2026,8,14))*(Data!$B$2:$B$121="CWL-2926")*Data!$H$2:$H$121)</f>
        <v>2</v>
      </c>
      <c r="D56">
        <f>ROUND(SUMIFS(Data!$D:$D,Data!$A:$A,DATE(2026,8,14),Data!$B:$B,"CWL-2926"),2)</f>
        <v>1.83</v>
      </c>
      <c r="E56" t="s">
        <v>12</v>
      </c>
      <c r="F56" t="s">
        <v>23</v>
      </c>
    </row>
    <row r="57" spans="1:6" x14ac:dyDescent="0.3">
      <c r="A57" t="s">
        <v>31</v>
      </c>
      <c r="B57" t="s">
        <v>32</v>
      </c>
      <c r="C57">
        <f>SUMPRODUCT((Data!$A$2:$A$121=DATE(2026,8,14))*(Data!$B$2:$B$121="CWL-2910")*Data!$H$2:$H$121)</f>
        <v>1</v>
      </c>
      <c r="D57">
        <f>ROUND(SUMIFS(Data!$D:$D,Data!$A:$A,DATE(2026,8,14),Data!$B:$B,"CWL-2910"),2)</f>
        <v>0.25</v>
      </c>
      <c r="E57" t="s">
        <v>12</v>
      </c>
      <c r="F57" t="s">
        <v>23</v>
      </c>
    </row>
    <row r="58" spans="1:6" x14ac:dyDescent="0.3">
      <c r="A58" t="s">
        <v>18</v>
      </c>
      <c r="B58" t="s">
        <v>19</v>
      </c>
      <c r="C58">
        <f>SUMPRODUCT((Data!$A$2:$A$121=DATE(2026,8,14))*(Data!$B$2:$B$121="CWL-2464")*Data!$H$2:$H$121)</f>
        <v>5</v>
      </c>
      <c r="D58">
        <f>ROUND(SUMIFS(Data!$D:$D,Data!$A:$A,DATE(2026,8,14),Data!$B:$B,"CWL-2464"),2)</f>
        <v>24</v>
      </c>
      <c r="E58" t="s">
        <v>5</v>
      </c>
      <c r="F58" t="s">
        <v>20</v>
      </c>
    </row>
    <row r="59" spans="1:6" x14ac:dyDescent="0.3">
      <c r="A59" t="s">
        <v>47</v>
      </c>
      <c r="B59" t="s">
        <v>48</v>
      </c>
      <c r="C59">
        <f>SUMPRODUCT((Data!$A$2:$A$121=DATE(2026,8,14))*(Data!$B$2:$B$121="CWL-2925")*Data!$H$2:$H$121)</f>
        <v>1</v>
      </c>
      <c r="D59">
        <f>ROUND(SUMIFS(Data!$D:$D,Data!$A:$A,DATE(2026,8,14),Data!$B:$B,"CWL-2925"),2)</f>
        <v>1.5</v>
      </c>
      <c r="E59" t="s">
        <v>12</v>
      </c>
      <c r="F59" t="s">
        <v>11</v>
      </c>
    </row>
    <row r="60" spans="1:6" x14ac:dyDescent="0.3">
      <c r="A60" s="5" t="str">
        <f>"Day Total ("&amp;COUNTA(A53:A59)&amp;" tickets)"</f>
        <v>Day Total (7 tickets)</v>
      </c>
      <c r="D60" s="5">
        <f>ROUND(SUM(D53:D59),2)</f>
        <v>36.25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AEC32C-50F1-4642-9463-D8AC06A06316}">
  <sheetPr codeName="Sheet5"/>
  <dimension ref="A1:E20"/>
  <sheetViews>
    <sheetView workbookViewId="0"/>
  </sheetViews>
  <sheetFormatPr defaultRowHeight="14.4" x14ac:dyDescent="0.3"/>
  <cols>
    <col min="1" max="1" width="14.77734375" customWidth="1"/>
    <col min="2" max="2" width="55.77734375" customWidth="1"/>
    <col min="3" max="3" width="22.77734375" customWidth="1"/>
    <col min="4" max="4" width="12.77734375" customWidth="1"/>
    <col min="5" max="5" width="14.77734375" customWidth="1"/>
  </cols>
  <sheetData>
    <row r="1" spans="1:5" ht="15.6" x14ac:dyDescent="0.3">
      <c r="A1" s="8" t="s">
        <v>78</v>
      </c>
    </row>
    <row r="2" spans="1:5" x14ac:dyDescent="0.3">
      <c r="A2" s="9" t="s">
        <v>79</v>
      </c>
    </row>
    <row r="3" spans="1:5" x14ac:dyDescent="0.3">
      <c r="A3" s="7" t="s">
        <v>63</v>
      </c>
      <c r="B3" s="7" t="s">
        <v>49</v>
      </c>
      <c r="C3" s="7" t="s">
        <v>50</v>
      </c>
      <c r="D3" s="7" t="s">
        <v>0</v>
      </c>
      <c r="E3" s="7" t="s">
        <v>80</v>
      </c>
    </row>
    <row r="4" spans="1:5" x14ac:dyDescent="0.3">
      <c r="A4" t="s">
        <v>1</v>
      </c>
      <c r="B4" t="s">
        <v>2</v>
      </c>
      <c r="C4" t="s">
        <v>81</v>
      </c>
      <c r="D4" t="s">
        <v>5</v>
      </c>
      <c r="E4" s="2">
        <v>46244</v>
      </c>
    </row>
    <row r="5" spans="1:5" x14ac:dyDescent="0.3">
      <c r="A5" t="s">
        <v>8</v>
      </c>
      <c r="B5" t="s">
        <v>9</v>
      </c>
      <c r="C5" t="s">
        <v>52</v>
      </c>
      <c r="D5" t="s">
        <v>12</v>
      </c>
      <c r="E5" s="2">
        <v>46244</v>
      </c>
    </row>
    <row r="6" spans="1:5" x14ac:dyDescent="0.3">
      <c r="A6" t="s">
        <v>15</v>
      </c>
      <c r="B6" t="s">
        <v>16</v>
      </c>
      <c r="C6" t="s">
        <v>52</v>
      </c>
      <c r="D6" t="s">
        <v>12</v>
      </c>
      <c r="E6" s="2">
        <v>46244</v>
      </c>
    </row>
    <row r="7" spans="1:5" x14ac:dyDescent="0.3">
      <c r="A7" t="s">
        <v>18</v>
      </c>
      <c r="B7" t="s">
        <v>19</v>
      </c>
      <c r="C7" t="s">
        <v>51</v>
      </c>
      <c r="D7" t="s">
        <v>5</v>
      </c>
      <c r="E7" s="2">
        <v>46244</v>
      </c>
    </row>
    <row r="8" spans="1:5" x14ac:dyDescent="0.3">
      <c r="A8" t="s">
        <v>21</v>
      </c>
      <c r="B8" t="s">
        <v>22</v>
      </c>
      <c r="C8" t="s">
        <v>82</v>
      </c>
      <c r="D8" t="s">
        <v>12</v>
      </c>
      <c r="E8" s="2">
        <v>46244</v>
      </c>
    </row>
    <row r="9" spans="1:5" x14ac:dyDescent="0.3">
      <c r="A9" t="s">
        <v>24</v>
      </c>
      <c r="B9" t="s">
        <v>25</v>
      </c>
      <c r="C9" t="s">
        <v>52</v>
      </c>
      <c r="D9" t="s">
        <v>12</v>
      </c>
      <c r="E9" s="2">
        <v>46244</v>
      </c>
    </row>
    <row r="10" spans="1:5" x14ac:dyDescent="0.3">
      <c r="A10" t="s">
        <v>26</v>
      </c>
      <c r="B10" t="s">
        <v>27</v>
      </c>
      <c r="C10" t="s">
        <v>83</v>
      </c>
      <c r="D10" t="s">
        <v>12</v>
      </c>
      <c r="E10" s="2">
        <v>46245</v>
      </c>
    </row>
    <row r="11" spans="1:5" x14ac:dyDescent="0.3">
      <c r="A11" t="s">
        <v>29</v>
      </c>
      <c r="B11" t="s">
        <v>30</v>
      </c>
      <c r="C11" t="s">
        <v>52</v>
      </c>
      <c r="D11" t="s">
        <v>12</v>
      </c>
      <c r="E11" s="2">
        <v>46245</v>
      </c>
    </row>
    <row r="12" spans="1:5" x14ac:dyDescent="0.3">
      <c r="A12" t="s">
        <v>31</v>
      </c>
      <c r="B12" t="s">
        <v>32</v>
      </c>
      <c r="C12" t="s">
        <v>82</v>
      </c>
      <c r="D12" t="s">
        <v>12</v>
      </c>
      <c r="E12" s="2">
        <v>46245</v>
      </c>
    </row>
    <row r="13" spans="1:5" x14ac:dyDescent="0.3">
      <c r="A13" t="s">
        <v>33</v>
      </c>
      <c r="B13" t="s">
        <v>34</v>
      </c>
      <c r="C13" t="s">
        <v>82</v>
      </c>
      <c r="D13" t="s">
        <v>12</v>
      </c>
      <c r="E13" s="2">
        <v>46245</v>
      </c>
    </row>
    <row r="14" spans="1:5" x14ac:dyDescent="0.3">
      <c r="A14" t="s">
        <v>35</v>
      </c>
      <c r="B14" t="s">
        <v>36</v>
      </c>
      <c r="C14" t="s">
        <v>82</v>
      </c>
      <c r="D14" t="s">
        <v>12</v>
      </c>
      <c r="E14" s="2">
        <v>46245</v>
      </c>
    </row>
    <row r="15" spans="1:5" x14ac:dyDescent="0.3">
      <c r="A15" t="s">
        <v>37</v>
      </c>
      <c r="B15" t="s">
        <v>38</v>
      </c>
      <c r="C15" t="s">
        <v>52</v>
      </c>
      <c r="D15" t="s">
        <v>12</v>
      </c>
      <c r="E15" s="2">
        <v>46245</v>
      </c>
    </row>
    <row r="16" spans="1:5" x14ac:dyDescent="0.3">
      <c r="A16" t="s">
        <v>39</v>
      </c>
      <c r="B16" t="s">
        <v>40</v>
      </c>
      <c r="C16" t="s">
        <v>52</v>
      </c>
      <c r="D16" t="s">
        <v>12</v>
      </c>
      <c r="E16" s="2">
        <v>46247</v>
      </c>
    </row>
    <row r="17" spans="1:5" x14ac:dyDescent="0.3">
      <c r="A17" t="s">
        <v>41</v>
      </c>
      <c r="B17" t="s">
        <v>42</v>
      </c>
      <c r="C17" t="s">
        <v>52</v>
      </c>
      <c r="D17" t="s">
        <v>12</v>
      </c>
      <c r="E17" s="2">
        <v>46247</v>
      </c>
    </row>
    <row r="18" spans="1:5" x14ac:dyDescent="0.3">
      <c r="A18" t="s">
        <v>43</v>
      </c>
      <c r="B18" t="s">
        <v>44</v>
      </c>
      <c r="C18" t="s">
        <v>52</v>
      </c>
      <c r="D18" t="s">
        <v>12</v>
      </c>
      <c r="E18" s="2">
        <v>46248</v>
      </c>
    </row>
    <row r="19" spans="1:5" x14ac:dyDescent="0.3">
      <c r="A19" t="s">
        <v>45</v>
      </c>
      <c r="B19" t="s">
        <v>46</v>
      </c>
      <c r="C19" t="s">
        <v>82</v>
      </c>
      <c r="D19" t="s">
        <v>12</v>
      </c>
      <c r="E19" s="2">
        <v>46248</v>
      </c>
    </row>
    <row r="20" spans="1:5" x14ac:dyDescent="0.3">
      <c r="A20" t="s">
        <v>47</v>
      </c>
      <c r="B20" t="s">
        <v>48</v>
      </c>
      <c r="C20" t="s">
        <v>52</v>
      </c>
      <c r="D20" t="s">
        <v>12</v>
      </c>
      <c r="E20" s="2">
        <v>46248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1D01D-329D-4581-A216-E0CAD031E216}">
  <sheetPr codeName="Sheet6"/>
  <dimension ref="A1:G12"/>
  <sheetViews>
    <sheetView workbookViewId="0">
      <selection activeCell="A5" sqref="A5:A11"/>
    </sheetView>
  </sheetViews>
  <sheetFormatPr defaultRowHeight="14.4" x14ac:dyDescent="0.3"/>
  <cols>
    <col min="1" max="1" width="12.77734375" customWidth="1"/>
    <col min="2" max="7" width="14.77734375" customWidth="1"/>
  </cols>
  <sheetData>
    <row r="1" spans="1:7" ht="15.6" x14ac:dyDescent="0.3">
      <c r="A1" s="8" t="s">
        <v>84</v>
      </c>
    </row>
    <row r="2" spans="1:7" x14ac:dyDescent="0.3">
      <c r="A2" s="4" t="s">
        <v>85</v>
      </c>
    </row>
    <row r="4" spans="1:7" x14ac:dyDescent="0.3">
      <c r="A4" s="7" t="s">
        <v>86</v>
      </c>
      <c r="B4" s="10">
        <v>46244</v>
      </c>
      <c r="C4" s="10">
        <v>46245</v>
      </c>
      <c r="D4" s="10">
        <v>46246</v>
      </c>
      <c r="E4" s="10">
        <v>46247</v>
      </c>
      <c r="F4" s="10">
        <v>46248</v>
      </c>
      <c r="G4" s="7" t="s">
        <v>87</v>
      </c>
    </row>
    <row r="5" spans="1:7" x14ac:dyDescent="0.3">
      <c r="A5" t="s">
        <v>3</v>
      </c>
      <c r="B5">
        <f>ROUND(SUMIFS(Data!$D:$D,Data!$A:$A,DATE(2026,8,10),Data!$E:$E,"User 1"),2)</f>
        <v>6.5</v>
      </c>
      <c r="C5">
        <f>ROUND(SUMIFS(Data!$D:$D,Data!$A:$A,DATE(2026,8,11),Data!$E:$E,"User 1"),2)</f>
        <v>7</v>
      </c>
      <c r="D5">
        <f>ROUND(SUMIFS(Data!$D:$D,Data!$A:$A,DATE(2026,8,12),Data!$E:$E,"User 1"),2)</f>
        <v>6.5</v>
      </c>
      <c r="E5">
        <f>ROUND(SUMIFS(Data!$D:$D,Data!$A:$A,DATE(2026,8,13),Data!$E:$E,"User 1"),2)</f>
        <v>6.75</v>
      </c>
      <c r="F5">
        <f>ROUND(SUMIFS(Data!$D:$D,Data!$A:$A,DATE(2026,8,14),Data!$E:$E,"User 1"),2)</f>
        <v>7</v>
      </c>
      <c r="G5">
        <f>ROUND(SUM(B5:F5),2)</f>
        <v>33.75</v>
      </c>
    </row>
    <row r="6" spans="1:7" x14ac:dyDescent="0.3">
      <c r="A6" t="s">
        <v>6</v>
      </c>
      <c r="B6">
        <f>ROUND(SUMIFS(Data!$D:$D,Data!$A:$A,DATE(2026,8,10),Data!$E:$E,"User 2"),2)</f>
        <v>1</v>
      </c>
      <c r="C6">
        <f>ROUND(SUMIFS(Data!$D:$D,Data!$A:$A,DATE(2026,8,11),Data!$E:$E,"User 2"),2)</f>
        <v>7.5</v>
      </c>
      <c r="D6">
        <f>ROUND(SUMIFS(Data!$D:$D,Data!$A:$A,DATE(2026,8,12),Data!$E:$E,"User 2"),2)</f>
        <v>7.17</v>
      </c>
      <c r="E6">
        <f>ROUND(SUMIFS(Data!$D:$D,Data!$A:$A,DATE(2026,8,13),Data!$E:$E,"User 2"),2)</f>
        <v>7.5</v>
      </c>
      <c r="F6">
        <f>ROUND(SUMIFS(Data!$D:$D,Data!$A:$A,DATE(2026,8,14),Data!$E:$E,"User 2"),2)</f>
        <v>7.25</v>
      </c>
      <c r="G6">
        <f>ROUND(SUM(B6:F6),2)</f>
        <v>30.42</v>
      </c>
    </row>
    <row r="7" spans="1:7" x14ac:dyDescent="0.3">
      <c r="A7" t="s">
        <v>7</v>
      </c>
      <c r="B7">
        <f>ROUND(SUMIFS(Data!$D:$D,Data!$A:$A,DATE(2026,8,10),Data!$E:$E,"User 3"),2)</f>
        <v>7.1</v>
      </c>
      <c r="C7">
        <f>ROUND(SUMIFS(Data!$D:$D,Data!$A:$A,DATE(2026,8,11),Data!$E:$E,"User 3"),2)</f>
        <v>6.5</v>
      </c>
      <c r="D7">
        <f>ROUND(SUMIFS(Data!$D:$D,Data!$A:$A,DATE(2026,8,12),Data!$E:$E,"User 3"),2)</f>
        <v>6.42</v>
      </c>
      <c r="E7">
        <f>ROUND(SUMIFS(Data!$D:$D,Data!$A:$A,DATE(2026,8,13),Data!$E:$E,"User 3"),2)</f>
        <v>6.58</v>
      </c>
      <c r="F7">
        <f>ROUND(SUMIFS(Data!$D:$D,Data!$A:$A,DATE(2026,8,14),Data!$E:$E,"User 3"),2)</f>
        <v>1</v>
      </c>
      <c r="G7">
        <f>ROUND(SUM(B7:F7),2)</f>
        <v>27.6</v>
      </c>
    </row>
    <row r="8" spans="1:7" x14ac:dyDescent="0.3">
      <c r="A8" t="s">
        <v>10</v>
      </c>
      <c r="B8">
        <f>ROUND(SUMIFS(Data!$D:$D,Data!$A:$A,DATE(2026,8,10),Data!$E:$E,"User 4"),2)</f>
        <v>6.75</v>
      </c>
      <c r="C8">
        <f>ROUND(SUMIFS(Data!$D:$D,Data!$A:$A,DATE(2026,8,11),Data!$E:$E,"User 4"),2)</f>
        <v>7.25</v>
      </c>
      <c r="D8">
        <f>ROUND(SUMIFS(Data!$D:$D,Data!$A:$A,DATE(2026,8,12),Data!$E:$E,"User 4"),2)</f>
        <v>7</v>
      </c>
      <c r="E8">
        <f>ROUND(SUMIFS(Data!$D:$D,Data!$A:$A,DATE(2026,8,13),Data!$E:$E,"User 4"),2)</f>
        <v>7.75</v>
      </c>
      <c r="F8">
        <f>ROUND(SUMIFS(Data!$D:$D,Data!$A:$A,DATE(2026,8,14),Data!$E:$E,"User 4"),2)</f>
        <v>6.67</v>
      </c>
      <c r="G8">
        <f>ROUND(SUM(B8:F8),2)</f>
        <v>35.42</v>
      </c>
    </row>
    <row r="9" spans="1:7" x14ac:dyDescent="0.3">
      <c r="A9" t="s">
        <v>13</v>
      </c>
      <c r="B9">
        <f>ROUND(SUMIFS(Data!$D:$D,Data!$A:$A,DATE(2026,8,10),Data!$E:$E,"User 5"),2)</f>
        <v>7.17</v>
      </c>
      <c r="C9">
        <f>ROUND(SUMIFS(Data!$D:$D,Data!$A:$A,DATE(2026,8,11),Data!$E:$E,"User 5"),2)</f>
        <v>7.17</v>
      </c>
      <c r="D9">
        <f>ROUND(SUMIFS(Data!$D:$D,Data!$A:$A,DATE(2026,8,12),Data!$E:$E,"User 5"),2)</f>
        <v>7.75</v>
      </c>
      <c r="E9">
        <f>ROUND(SUMIFS(Data!$D:$D,Data!$A:$A,DATE(2026,8,13),Data!$E:$E,"User 5"),2)</f>
        <v>7.17</v>
      </c>
      <c r="F9">
        <f>ROUND(SUMIFS(Data!$D:$D,Data!$A:$A,DATE(2026,8,14),Data!$E:$E,"User 5"),2)</f>
        <v>7.58</v>
      </c>
      <c r="G9">
        <f>ROUND(SUM(B9:F9),2)</f>
        <v>36.840000000000003</v>
      </c>
    </row>
    <row r="10" spans="1:7" x14ac:dyDescent="0.3">
      <c r="A10" t="s">
        <v>14</v>
      </c>
      <c r="B10">
        <f>ROUND(SUMIFS(Data!$D:$D,Data!$A:$A,DATE(2026,8,10),Data!$E:$E,"User 6"),2)</f>
        <v>6</v>
      </c>
      <c r="C10">
        <f>ROUND(SUMIFS(Data!$D:$D,Data!$A:$A,DATE(2026,8,11),Data!$E:$E,"User 6"),2)</f>
        <v>7.25</v>
      </c>
      <c r="D10">
        <f>ROUND(SUMIFS(Data!$D:$D,Data!$A:$A,DATE(2026,8,12),Data!$E:$E,"User 6"),2)</f>
        <v>6.5</v>
      </c>
      <c r="E10">
        <f>ROUND(SUMIFS(Data!$D:$D,Data!$A:$A,DATE(2026,8,13),Data!$E:$E,"User 6"),2)</f>
        <v>6.5</v>
      </c>
      <c r="F10">
        <f>ROUND(SUMIFS(Data!$D:$D,Data!$A:$A,DATE(2026,8,14),Data!$E:$E,"User 6"),2)</f>
        <v>0</v>
      </c>
      <c r="G10">
        <f>ROUND(SUM(B10:F10),2)</f>
        <v>26.25</v>
      </c>
    </row>
    <row r="11" spans="1:7" x14ac:dyDescent="0.3">
      <c r="A11" t="s">
        <v>17</v>
      </c>
      <c r="B11">
        <f>ROUND(SUMIFS(Data!$D:$D,Data!$A:$A,DATE(2026,8,10),Data!$E:$E,"User 7"),2)</f>
        <v>6.5</v>
      </c>
      <c r="C11">
        <f>ROUND(SUMIFS(Data!$D:$D,Data!$A:$A,DATE(2026,8,11),Data!$E:$E,"User 7"),2)</f>
        <v>7</v>
      </c>
      <c r="D11">
        <f>ROUND(SUMIFS(Data!$D:$D,Data!$A:$A,DATE(2026,8,12),Data!$E:$E,"User 7"),2)</f>
        <v>7</v>
      </c>
      <c r="E11">
        <f>ROUND(SUMIFS(Data!$D:$D,Data!$A:$A,DATE(2026,8,13),Data!$E:$E,"User 7"),2)</f>
        <v>6.25</v>
      </c>
      <c r="F11">
        <f>ROUND(SUMIFS(Data!$D:$D,Data!$A:$A,DATE(2026,8,14),Data!$E:$E,"User 7"),2)</f>
        <v>6.75</v>
      </c>
      <c r="G11">
        <f>ROUND(SUM(B11:F11),2)</f>
        <v>33.5</v>
      </c>
    </row>
    <row r="12" spans="1:7" x14ac:dyDescent="0.3">
      <c r="A12" s="5" t="s">
        <v>88</v>
      </c>
      <c r="B12" s="5">
        <f>ROUND(SUM(B5:B11),2)</f>
        <v>41.02</v>
      </c>
      <c r="C12" s="5">
        <f>ROUND(SUM(C5:C11),2)</f>
        <v>49.67</v>
      </c>
      <c r="D12" s="5">
        <f>ROUND(SUM(D5:D11),2)</f>
        <v>48.34</v>
      </c>
      <c r="E12" s="5">
        <f>ROUND(SUM(E5:E11),2)</f>
        <v>48.5</v>
      </c>
      <c r="F12" s="5">
        <f>ROUND(SUM(F5:F11),2)</f>
        <v>36.25</v>
      </c>
      <c r="G12" s="5">
        <f>ROUND(SUM(G5:G11),2)</f>
        <v>223.78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6719B-A939-4756-986A-3F64755EC6F7}">
  <sheetPr codeName="Sheet7"/>
  <dimension ref="A1:H11"/>
  <sheetViews>
    <sheetView topLeftCell="A7" workbookViewId="0">
      <selection activeCell="G15" sqref="G15"/>
    </sheetView>
  </sheetViews>
  <sheetFormatPr defaultRowHeight="14.4" x14ac:dyDescent="0.3"/>
  <cols>
    <col min="1" max="1" width="12.77734375" customWidth="1"/>
    <col min="2" max="2" width="8.77734375" customWidth="1"/>
    <col min="4" max="4" width="10.77734375" customWidth="1"/>
    <col min="5" max="5" width="8.77734375" customWidth="1"/>
    <col min="7" max="7" width="10.77734375" customWidth="1"/>
    <col min="8" max="8" width="8.77734375" customWidth="1"/>
  </cols>
  <sheetData>
    <row r="1" spans="1:8" ht="17.399999999999999" x14ac:dyDescent="0.3">
      <c r="A1" s="3" t="s">
        <v>89</v>
      </c>
    </row>
    <row r="3" spans="1:8" x14ac:dyDescent="0.3">
      <c r="A3" s="5" t="s">
        <v>90</v>
      </c>
      <c r="D3" s="5" t="s">
        <v>91</v>
      </c>
      <c r="G3" s="5" t="s">
        <v>92</v>
      </c>
    </row>
    <row r="4" spans="1:8" x14ac:dyDescent="0.3">
      <c r="A4" s="7" t="s">
        <v>62</v>
      </c>
      <c r="B4" s="7" t="s">
        <v>64</v>
      </c>
      <c r="D4" s="7" t="s">
        <v>93</v>
      </c>
      <c r="E4" s="7" t="s">
        <v>64</v>
      </c>
      <c r="G4" s="7" t="s">
        <v>0</v>
      </c>
      <c r="H4" s="7" t="s">
        <v>94</v>
      </c>
    </row>
    <row r="5" spans="1:8" x14ac:dyDescent="0.3">
      <c r="A5" s="1">
        <v>46244</v>
      </c>
      <c r="B5">
        <f>ROUND(SUMIFS(Data!$D:$D,Data!$A:$A,DATE(2026,8,10)),2)</f>
        <v>41.02</v>
      </c>
      <c r="D5" t="s">
        <v>3</v>
      </c>
      <c r="E5">
        <f>ROUND(SUMIFS(Data!$D:$D,Data!$E:$E,"User 1"),2)</f>
        <v>33.75</v>
      </c>
      <c r="G5" t="s">
        <v>5</v>
      </c>
      <c r="H5">
        <f>SUMPRODUCT((Data!$G$2:$G$121="Low")*Data!$J$2:$J$121)</f>
        <v>2</v>
      </c>
    </row>
    <row r="6" spans="1:8" x14ac:dyDescent="0.3">
      <c r="A6" s="1">
        <v>46245</v>
      </c>
      <c r="B6">
        <f>ROUND(SUMIFS(Data!$D:$D,Data!$A:$A,DATE(2026,8,11)),2)</f>
        <v>49.67</v>
      </c>
      <c r="D6" t="s">
        <v>6</v>
      </c>
      <c r="E6">
        <f>ROUND(SUMIFS(Data!$D:$D,Data!$E:$E,"User 2"),2)</f>
        <v>30.42</v>
      </c>
      <c r="G6" t="s">
        <v>12</v>
      </c>
      <c r="H6">
        <f>SUMPRODUCT((Data!$G$2:$G$121="Medium")*Data!$J$2:$J$121)</f>
        <v>15</v>
      </c>
    </row>
    <row r="7" spans="1:8" x14ac:dyDescent="0.3">
      <c r="A7" s="1">
        <v>46246</v>
      </c>
      <c r="B7">
        <f>ROUND(SUMIFS(Data!$D:$D,Data!$A:$A,DATE(2026,8,12)),2)</f>
        <v>48.33</v>
      </c>
      <c r="D7" t="s">
        <v>7</v>
      </c>
      <c r="E7">
        <f>ROUND(SUMIFS(Data!$D:$D,Data!$E:$E,"User 3"),2)</f>
        <v>27.6</v>
      </c>
    </row>
    <row r="8" spans="1:8" x14ac:dyDescent="0.3">
      <c r="A8" s="1">
        <v>46247</v>
      </c>
      <c r="B8">
        <f>ROUND(SUMIFS(Data!$D:$D,Data!$A:$A,DATE(2026,8,13)),2)</f>
        <v>48.5</v>
      </c>
      <c r="D8" t="s">
        <v>10</v>
      </c>
      <c r="E8">
        <f>ROUND(SUMIFS(Data!$D:$D,Data!$E:$E,"User 4"),2)</f>
        <v>35.42</v>
      </c>
    </row>
    <row r="9" spans="1:8" x14ac:dyDescent="0.3">
      <c r="A9" s="1">
        <v>46248</v>
      </c>
      <c r="B9">
        <f>ROUND(SUMIFS(Data!$D:$D,Data!$A:$A,DATE(2026,8,14)),2)</f>
        <v>36.25</v>
      </c>
      <c r="D9" t="s">
        <v>13</v>
      </c>
      <c r="E9">
        <f>ROUND(SUMIFS(Data!$D:$D,Data!$E:$E,"User 5"),2)</f>
        <v>36.83</v>
      </c>
    </row>
    <row r="10" spans="1:8" x14ac:dyDescent="0.3">
      <c r="D10" t="s">
        <v>14</v>
      </c>
      <c r="E10">
        <f>ROUND(SUMIFS(Data!$D:$D,Data!$E:$E,"User 6"),2)</f>
        <v>26.25</v>
      </c>
    </row>
    <row r="11" spans="1:8" x14ac:dyDescent="0.3">
      <c r="D11" t="s">
        <v>17</v>
      </c>
      <c r="E11">
        <f>ROUND(SUMIFS(Data!$D:$D,Data!$E:$E,"User 7"),2)</f>
        <v>33.5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3F3BB-1219-422C-8F37-D498B8850D41}">
  <sheetPr codeName="Sheet8"/>
  <dimension ref="A1:B9"/>
  <sheetViews>
    <sheetView workbookViewId="0">
      <selection activeCell="B3" sqref="B3:B9"/>
    </sheetView>
  </sheetViews>
  <sheetFormatPr defaultRowHeight="14.4" x14ac:dyDescent="0.3"/>
  <cols>
    <col min="1" max="1" width="12.77734375" customWidth="1"/>
    <col min="2" max="2" width="30.77734375" customWidth="1"/>
  </cols>
  <sheetData>
    <row r="1" spans="1:2" x14ac:dyDescent="0.3">
      <c r="A1" s="5" t="s">
        <v>95</v>
      </c>
    </row>
    <row r="2" spans="1:2" x14ac:dyDescent="0.3">
      <c r="A2" s="7" t="s">
        <v>86</v>
      </c>
      <c r="B2" s="7" t="s">
        <v>96</v>
      </c>
    </row>
    <row r="3" spans="1:2" x14ac:dyDescent="0.3">
      <c r="A3" t="s">
        <v>55</v>
      </c>
      <c r="B3" t="s">
        <v>3</v>
      </c>
    </row>
    <row r="4" spans="1:2" x14ac:dyDescent="0.3">
      <c r="A4" t="s">
        <v>56</v>
      </c>
      <c r="B4" t="s">
        <v>6</v>
      </c>
    </row>
    <row r="5" spans="1:2" x14ac:dyDescent="0.3">
      <c r="A5" t="s">
        <v>57</v>
      </c>
      <c r="B5" t="s">
        <v>7</v>
      </c>
    </row>
    <row r="6" spans="1:2" x14ac:dyDescent="0.3">
      <c r="A6" t="s">
        <v>58</v>
      </c>
      <c r="B6" t="s">
        <v>10</v>
      </c>
    </row>
    <row r="7" spans="1:2" x14ac:dyDescent="0.3">
      <c r="A7" t="s">
        <v>59</v>
      </c>
      <c r="B7" t="s">
        <v>13</v>
      </c>
    </row>
    <row r="8" spans="1:2" x14ac:dyDescent="0.3">
      <c r="A8" t="s">
        <v>60</v>
      </c>
      <c r="B8" t="s">
        <v>14</v>
      </c>
    </row>
    <row r="9" spans="1:2" x14ac:dyDescent="0.3">
      <c r="A9" t="s">
        <v>61</v>
      </c>
      <c r="B9" t="s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1</vt:lpstr>
      <vt:lpstr>Data</vt:lpstr>
      <vt:lpstr>Weekly Report</vt:lpstr>
      <vt:lpstr>Tickets Created This Week</vt:lpstr>
      <vt:lpstr>Author Summary (Anonymized)</vt:lpstr>
      <vt:lpstr>Dashboard</vt:lpstr>
      <vt:lpstr>Internal Ref - DO NOT SHARE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Dakshata Shinde</dc:creator>
  <cp:lastModifiedBy>Dakshata Shinde</cp:lastModifiedBy>
  <dcterms:created xsi:type="dcterms:W3CDTF">2026-08-26T08:21:50Z</dcterms:created>
  <dcterms:modified xsi:type="dcterms:W3CDTF">2026-08-26T08:48:26Z</dcterms:modified>
</cp:coreProperties>
</file>